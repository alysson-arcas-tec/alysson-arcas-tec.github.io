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lysson\Desktop\Escopo\Documentos Modelo\"/>
    </mc:Choice>
  </mc:AlternateContent>
  <xr:revisionPtr revIDLastSave="0" documentId="8_{D5DA2906-9191-4B48-A321-669561166D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o" sheetId="1" r:id="rId1"/>
    <sheet name="Backlog Sprint 3" sheetId="2" r:id="rId2"/>
    <sheet name="Alocação" sheetId="3" r:id="rId3"/>
    <sheet name="Ausênci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3" i="3" l="1"/>
  <c r="D13" i="3"/>
  <c r="C13" i="3"/>
  <c r="E11" i="3"/>
  <c r="H11" i="3" s="1"/>
  <c r="E10" i="3"/>
  <c r="H10" i="3" s="1"/>
  <c r="E9" i="3"/>
  <c r="H9" i="3" s="1"/>
  <c r="E8" i="3"/>
  <c r="G8" i="3" s="1"/>
  <c r="E7" i="3"/>
  <c r="H7" i="3" s="1"/>
  <c r="E6" i="3"/>
  <c r="E13" i="3" s="1"/>
  <c r="H13" i="3" s="1"/>
  <c r="I17" i="2"/>
  <c r="L17" i="2" s="1"/>
  <c r="H6" i="1"/>
  <c r="G6" i="1"/>
  <c r="F6" i="1"/>
  <c r="E6" i="1"/>
  <c r="D6" i="1"/>
  <c r="G6" i="3" l="1"/>
  <c r="G10" i="3"/>
  <c r="H6" i="3"/>
  <c r="H8" i="3"/>
  <c r="G7" i="3"/>
  <c r="G9" i="3"/>
  <c r="G11" i="3"/>
  <c r="G13" i="3" l="1"/>
</calcChain>
</file>

<file path=xl/sharedStrings.xml><?xml version="1.0" encoding="utf-8"?>
<sst xmlns="http://schemas.openxmlformats.org/spreadsheetml/2006/main" count="290" uniqueCount="163">
  <si>
    <t>Backlog da Sprint 3 - Sistema MK Barbearia
Período: 03/05/2026 a 16/05/2026 | Objetivo: histórico, contato e painel admin</t>
  </si>
  <si>
    <t>Campo</t>
  </si>
  <si>
    <t>Informação</t>
  </si>
  <si>
    <t>Tarefas</t>
  </si>
  <si>
    <t>Horas estimadas</t>
  </si>
  <si>
    <t>Colaboradores</t>
  </si>
  <si>
    <t>Horas de ausência</t>
  </si>
  <si>
    <t>Custo estimado</t>
  </si>
  <si>
    <t>Projeto</t>
  </si>
  <si>
    <t>Sistema de Gestão para MK Barbearia</t>
  </si>
  <si>
    <t>Sprint</t>
  </si>
  <si>
    <t>Sprint 3</t>
  </si>
  <si>
    <t>Período</t>
  </si>
  <si>
    <t>03/05/2026 a 16/05/2026</t>
  </si>
  <si>
    <t>Objetivo</t>
  </si>
  <si>
    <t>Entregar histórico de agendamentos, formulário de contato e recursos iniciais do painel administrativo.</t>
  </si>
  <si>
    <t>Premissa</t>
  </si>
  <si>
    <t>Dados fictícios, coerentes com o planejamento do portfólio e custo hora de R$ 250.</t>
  </si>
  <si>
    <t>Leitura executiva</t>
  </si>
  <si>
    <t>A Sprint 3 está dimensionada em 132 horas estimadas, distribuídas entre histórico do cliente, formulário de contato, agenda administrativa, gestão de serviços e QA funcional. O plano inclui duas ausências mitigadas: Pedro Neto em 11/05/2026, impactando o cadastro de agenda em lote, e Michelli de Oliveira em 13/05/2026 pela manhã, impactando a consolidação de evidências. As mitigações mantêm o aceite previsto em 16/05/2026.</t>
  </si>
  <si>
    <t>Backlog Sprint 3
Tarefas, período, horas estimadas, alocação e impactos de ausência</t>
  </si>
  <si>
    <t>ID</t>
  </si>
  <si>
    <t>Épico</t>
  </si>
  <si>
    <t>Tarefa</t>
  </si>
  <si>
    <t>Responsável</t>
  </si>
  <si>
    <t>Alocação detalhada</t>
  </si>
  <si>
    <t>Início</t>
  </si>
  <si>
    <t>Fim</t>
  </si>
  <si>
    <t>Horas Estimadas</t>
  </si>
  <si>
    <t>Status</t>
  </si>
  <si>
    <t>Ausência / Impacto</t>
  </si>
  <si>
    <t>Mitigação</t>
  </si>
  <si>
    <t>Critério de aceite</t>
  </si>
  <si>
    <t>S3-01</t>
  </si>
  <si>
    <t>Histórico</t>
  </si>
  <si>
    <t>API e consulta de histórico de agendamentos do cliente</t>
  </si>
  <si>
    <t>Pedro Neto da Silva</t>
  </si>
  <si>
    <t>Pedro (10h); Jaqueline (2h)</t>
  </si>
  <si>
    <t>04/05/2026</t>
  </si>
  <si>
    <t>06/05/2026</t>
  </si>
  <si>
    <t>04/05/2026 a 06/05/2026</t>
  </si>
  <si>
    <t>Concluída</t>
  </si>
  <si>
    <t>Sem impacto registrado</t>
  </si>
  <si>
    <t>Revisão técnica no checkpoint de 06/05</t>
  </si>
  <si>
    <t>Endpoint retorna agendamentos por cliente com status e data</t>
  </si>
  <si>
    <t>S3-02</t>
  </si>
  <si>
    <t>Tela de histórico na área logada do cliente</t>
  </si>
  <si>
    <t>Jaqueline da Silva de Oliveira</t>
  </si>
  <si>
    <t>Jaqueline (14h)</t>
  </si>
  <si>
    <t>05/05/2026</t>
  </si>
  <si>
    <t>08/05/2026</t>
  </si>
  <si>
    <t>05/05/2026 a 08/05/2026</t>
  </si>
  <si>
    <t>Validação visual com UX antes do QA</t>
  </si>
  <si>
    <t>Cliente visualiza histórico com serviço, data e situação</t>
  </si>
  <si>
    <t>S3-03</t>
  </si>
  <si>
    <t>Filtros por período e status no histórico</t>
  </si>
  <si>
    <t>Jaqueline (12h)</t>
  </si>
  <si>
    <t>07/05/2026</t>
  </si>
  <si>
    <t>11/05/2026</t>
  </si>
  <si>
    <t>07/05/2026 a 11/05/2026</t>
  </si>
  <si>
    <t>Massa de teste com registros realizados, cancelados e pendentes</t>
  </si>
  <si>
    <t>Filtros retornam somente registros aderentes aos parâmetros</t>
  </si>
  <si>
    <t>S3-04</t>
  </si>
  <si>
    <t>Contato</t>
  </si>
  <si>
    <t>Formulário de contato com validação de campos</t>
  </si>
  <si>
    <t>Jaqueline (8h); Joana (2h)</t>
  </si>
  <si>
    <t>09/05/2026</t>
  </si>
  <si>
    <t>06/05/2026 a 09/05/2026</t>
  </si>
  <si>
    <t>Revisão de textos e estados de erro com UX</t>
  </si>
  <si>
    <t>Cliente recebe feedback visual após envio válido</t>
  </si>
  <si>
    <t>S3-05</t>
  </si>
  <si>
    <t>Envio de mensagem ao atendimento e confirmação por e-mail</t>
  </si>
  <si>
    <t>Pedro (9h); Marcos (3h)</t>
  </si>
  <si>
    <t>12/05/2026</t>
  </si>
  <si>
    <t>07/05/2026 a 12/05/2026</t>
  </si>
  <si>
    <t>Concluída com ressalva</t>
  </si>
  <si>
    <t>Dependência da conta oficial de e-mail da MK</t>
  </si>
  <si>
    <t>Usar conta técnica em homologação até credencial definitiva</t>
  </si>
  <si>
    <t>Mensagem é registrada e enviada ao canal de atendimento</t>
  </si>
  <si>
    <t>S3-06</t>
  </si>
  <si>
    <t>Admin agenda</t>
  </si>
  <si>
    <t>Cadastro de agenda em lote para administradores</t>
  </si>
  <si>
    <t>Pedro (22h); Alysson (2h)</t>
  </si>
  <si>
    <t>14/05/2026</t>
  </si>
  <si>
    <t>08/05/2026 a 14/05/2026</t>
  </si>
  <si>
    <t>Pedro ausente em 11/05/2026 por 6h</t>
  </si>
  <si>
    <t>Replanejar integração para 12/05 e priorizar fluxo principal</t>
  </si>
  <si>
    <t>Admin cria slots por dia da semana, faixa horária e intervalo</t>
  </si>
  <si>
    <t>S3-07</t>
  </si>
  <si>
    <t>Admin serviços</t>
  </si>
  <si>
    <t>Gestão de serviços e tabela de preços no painel admin</t>
  </si>
  <si>
    <t>Jaqueline (18h)</t>
  </si>
  <si>
    <t>11/05/2026 a 14/05/2026</t>
  </si>
  <si>
    <t>Validar reflexo das alterações na área pública e logada</t>
  </si>
  <si>
    <t>Serviço criado, editado e removido aparece corretamente nas telas</t>
  </si>
  <si>
    <t>S3-08</t>
  </si>
  <si>
    <t>UX admin</t>
  </si>
  <si>
    <t>Ajustes de UX no calendário administrativo</t>
  </si>
  <si>
    <t>Joana de Azevedo</t>
  </si>
  <si>
    <t>Joana (8h)</t>
  </si>
  <si>
    <t>12/05/2026 a 14/05/2026</t>
  </si>
  <si>
    <t>Padronizar mensagens de erro, vazio e confirmação</t>
  </si>
  <si>
    <t>Mensagens e estados visuais revisados pela operação da MK</t>
  </si>
  <si>
    <t>S3-09</t>
  </si>
  <si>
    <t>Qualidade</t>
  </si>
  <si>
    <t>QA funcional do histórico, contato e painel administrativo</t>
  </si>
  <si>
    <t>Michelli de Oliveira</t>
  </si>
  <si>
    <t>Michelli (18h)</t>
  </si>
  <si>
    <t>15/05/2026</t>
  </si>
  <si>
    <t>12/05/2026 a 15/05/2026</t>
  </si>
  <si>
    <t>Michelli ausente em 13/05/2026 pela manhã por 4h</t>
  </si>
  <si>
    <t>Reagendar evidências para 15/05 e testar primeiro fluxos críticos</t>
  </si>
  <si>
    <t>Cenários principais executados sem defeito crítico</t>
  </si>
  <si>
    <t>S3-10</t>
  </si>
  <si>
    <t>Aceite</t>
  </si>
  <si>
    <t>Review da sprint, evidências e termo de aceite</t>
  </si>
  <si>
    <t>Alysson Arcas</t>
  </si>
  <si>
    <t>Alysson (3h); Michelli (1h)</t>
  </si>
  <si>
    <t>16/05/2026</t>
  </si>
  <si>
    <t>Consolidar pendências e ressalvas no aceite</t>
  </si>
  <si>
    <t>Review realizada e pendências registradas para Sprint 4</t>
  </si>
  <si>
    <t>Total estimado da Sprint 3</t>
  </si>
  <si>
    <t>Custo estimado:</t>
  </si>
  <si>
    <t>Funcionários Alocados - Sprint 3
Capacidade, ausências, horas estimadas e utilização</t>
  </si>
  <si>
    <t>Colaborador</t>
  </si>
  <si>
    <t>Papel</t>
  </si>
  <si>
    <t>Capacidade planejada (h)</t>
  </si>
  <si>
    <t>Capacidade efetiva (h)</t>
  </si>
  <si>
    <t>Horas alocadas</t>
  </si>
  <si>
    <t>Folga / Risco (h)</t>
  </si>
  <si>
    <t>Utilização (%)</t>
  </si>
  <si>
    <t>Tarefas vinculadas</t>
  </si>
  <si>
    <t>Coordenador do Projeto</t>
  </si>
  <si>
    <t>S3-06; S3-10</t>
  </si>
  <si>
    <t>Desenvolvedor back-end</t>
  </si>
  <si>
    <t>S3-01; S3-05; S3-06</t>
  </si>
  <si>
    <t>Desenvolvedora front-end</t>
  </si>
  <si>
    <t>S3-01; S3-02; S3-03; S3-04; S3-07</t>
  </si>
  <si>
    <t>UX/UI Designer</t>
  </si>
  <si>
    <t>S3-04; S3-08</t>
  </si>
  <si>
    <t>QA / Testes funcionais</t>
  </si>
  <si>
    <t>S3-09; S3-10</t>
  </si>
  <si>
    <t>Marcos Kawasaki</t>
  </si>
  <si>
    <t>DevOps / Infraestrutura</t>
  </si>
  <si>
    <t>Totais</t>
  </si>
  <si>
    <t>Ausências e Impactos - Sprint 3
Registro de indisponibilidade, impacto e mitigação</t>
  </si>
  <si>
    <t>Data</t>
  </si>
  <si>
    <t>Horas</t>
  </si>
  <si>
    <t>Motivo</t>
  </si>
  <si>
    <t>Tarefa impactada</t>
  </si>
  <si>
    <t>Impacto identificado</t>
  </si>
  <si>
    <t>Status / Mitigação</t>
  </si>
  <si>
    <t>AUS-01</t>
  </si>
  <si>
    <t>Tarde</t>
  </si>
  <si>
    <t>Consulta médica previamente comunicada</t>
  </si>
  <si>
    <t>Ajuste no calendário de integração do cadastro em lote</t>
  </si>
  <si>
    <t>Mitigada</t>
  </si>
  <si>
    <t>AUS-02</t>
  </si>
  <si>
    <t>13/05/2026</t>
  </si>
  <si>
    <t>Manhã</t>
  </si>
  <si>
    <t>Treinamento interno de QA</t>
  </si>
  <si>
    <t>Evidências finais movidas para 15/05/2026</t>
  </si>
  <si>
    <t>Observação: as ausências foram consideradas no planejamento de capacidade e mitigadas por replanejamento interno, sem alteração do período da sprint.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</si>
</sst>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"/>
    <numFmt numFmtId="165" formatCode="0.0%"/>
  </numFmts>
  <fonts count="9" x14ac:knownFonts="1">
    <font>
      <sz val="11"/>
      <name val="Carlito"/>
    </font>
    <font>
      <b/>
      <sz val="16"/>
      <color rgb="FFFFFFFF"/>
      <name val="Carlito"/>
    </font>
    <font>
      <b/>
      <sz val="10"/>
      <color rgb="FFFFFFFF"/>
      <name val="Carlito"/>
    </font>
    <font>
      <sz val="10"/>
      <color rgb="FF1F2933"/>
      <name val="Carlito"/>
    </font>
    <font>
      <b/>
      <sz val="10"/>
      <color rgb="FF1F2933"/>
      <name val="Carlito"/>
    </font>
    <font>
      <b/>
      <sz val="14"/>
      <color rgb="FF1F2933"/>
      <name val="Carlito"/>
    </font>
    <font>
      <b/>
      <sz val="11"/>
      <color rgb="FFFFFFFF"/>
      <name val="Carlito"/>
    </font>
    <font>
      <sz val="11"/>
      <color rgb="FF1F2933"/>
      <name val="Carlito"/>
    </font>
    <font>
      <b/>
      <sz val="11"/>
      <color rgb="FF1F2933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EAF2F8"/>
      </patternFill>
    </fill>
    <fill>
      <patternFill patternType="solid">
        <fgColor rgb="FFF7F0DA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3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vertical="center" wrapText="1"/>
    </xf>
    <xf numFmtId="0" fontId="4" fillId="4" borderId="0" xfId="0" applyNumberFormat="1" applyFont="1" applyFill="1" applyBorder="1" applyAlignment="1">
      <alignment horizontal="center"/>
    </xf>
    <xf numFmtId="1" fontId="5" fillId="4" borderId="0" xfId="0" applyNumberFormat="1" applyFont="1" applyFill="1" applyBorder="1" applyAlignment="1">
      <alignment horizontal="center"/>
    </xf>
    <xf numFmtId="0" fontId="4" fillId="5" borderId="0" xfId="0" applyNumberFormat="1" applyFont="1" applyFill="1" applyBorder="1" applyAlignment="1">
      <alignment horizontal="center"/>
    </xf>
    <xf numFmtId="164" fontId="5" fillId="5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vertical="center" wrapText="1"/>
    </xf>
    <xf numFmtId="0" fontId="8" fillId="5" borderId="0" xfId="0" applyNumberFormat="1" applyFont="1" applyFill="1" applyBorder="1" applyAlignment="1">
      <alignment horizontal="center"/>
    </xf>
    <xf numFmtId="0" fontId="3" fillId="6" borderId="0" xfId="0" applyNumberFormat="1" applyFont="1" applyFill="1" applyBorder="1" applyAlignment="1">
      <alignment vertical="center" wrapText="1"/>
    </xf>
    <xf numFmtId="1" fontId="3" fillId="6" borderId="0" xfId="0" applyNumberFormat="1" applyFont="1" applyFill="1" applyBorder="1" applyAlignment="1">
      <alignment vertical="center" wrapText="1"/>
    </xf>
    <xf numFmtId="165" fontId="3" fillId="0" borderId="0" xfId="0" applyNumberFormat="1" applyFont="1" applyFill="1" applyBorder="1" applyAlignment="1">
      <alignment vertical="center" wrapText="1"/>
    </xf>
    <xf numFmtId="1" fontId="8" fillId="5" borderId="0" xfId="0" applyNumberFormat="1" applyFont="1" applyFill="1" applyBorder="1" applyAlignment="1">
      <alignment horizontal="center"/>
    </xf>
    <xf numFmtId="165" fontId="8" fillId="5" borderId="0" xfId="0" applyNumberFormat="1" applyFont="1" applyFill="1" applyBorder="1" applyAlignment="1">
      <alignment horizontal="center"/>
    </xf>
    <xf numFmtId="165" fontId="3" fillId="6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>
      <alignment horizontal="center"/>
    </xf>
    <xf numFmtId="0" fontId="0" fillId="0" borderId="0" xfId="0"/>
    <xf numFmtId="0" fontId="7" fillId="0" borderId="0" xfId="0" applyNumberFormat="1" applyFont="1" applyFill="1" applyBorder="1" applyAlignment="1">
      <alignment vertical="top" wrapText="1"/>
    </xf>
    <xf numFmtId="0" fontId="8" fillId="5" borderId="0" xfId="0" applyNumberFormat="1" applyFont="1" applyFill="1" applyBorder="1" applyAlignment="1">
      <alignment horizontal="center"/>
    </xf>
    <xf numFmtId="164" fontId="8" fillId="5" borderId="0" xfId="0" applyNumberFormat="1" applyFont="1" applyFill="1" applyBorder="1" applyAlignment="1">
      <alignment horizontal="center"/>
    </xf>
    <xf numFmtId="0" fontId="3" fillId="4" borderId="0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/>
          <a:lstStyle/>
          <a:p>
            <a:r>
              <a:rPr lang="pt-BR"/>
              <a:t>Horas alocadas por colaborador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Horas estimadas</c:v>
          </c:tx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6"/>
              <c:pt idx="0">
                <c:v>Alysson Arcas</c:v>
              </c:pt>
              <c:pt idx="1">
                <c:v>Pedro Neto da Silva</c:v>
              </c:pt>
              <c:pt idx="2">
                <c:v>Jaqueline da Silva de Oliveira</c:v>
              </c:pt>
              <c:pt idx="3">
                <c:v>Joana de Azevedo</c:v>
              </c:pt>
              <c:pt idx="4">
                <c:v>Michelli de Oliveira</c:v>
              </c:pt>
              <c:pt idx="5">
                <c:v>Marcos Kawasaki</c:v>
              </c:pt>
            </c:strLit>
          </c:cat>
          <c:val>
            <c:numLit>
              <c:formatCode>General</c:formatCode>
              <c:ptCount val="6"/>
              <c:pt idx="0">
                <c:v>5</c:v>
              </c:pt>
              <c:pt idx="1">
                <c:v>41</c:v>
              </c:pt>
              <c:pt idx="2">
                <c:v>54</c:v>
              </c:pt>
              <c:pt idx="3">
                <c:v>10</c:v>
              </c:pt>
              <c:pt idx="4">
                <c:v>19</c:v>
              </c:pt>
              <c:pt idx="5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FC56-49BF-B2C9-E6621E63F52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0"/>
        <c:axId val="48650112"/>
        <c:axId val="48672768"/>
      </c:barChart>
      <c:catAx>
        <c:axId val="48650112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20</xdr:row>
      <xdr:rowOff>0</xdr:rowOff>
    </xdr:from>
    <xdr:ext cx="7239000" cy="3048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esumoProjeto" displayName="ResumoProjeto" ref="A5:B10">
  <autoFilter ref="A5:B10" xr:uid="{00000000-0009-0000-0100-000001000000}"/>
  <tableColumns count="2">
    <tableColumn id="1" xr3:uid="{00000000-0010-0000-0000-000001000000}" name="Campo"/>
    <tableColumn id="2" xr3:uid="{00000000-0010-0000-0000-000002000000}" name="Informaçã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elaBacklogSprint3" displayName="TabelaBacklogSprint3" ref="A5:M15">
  <autoFilter ref="A5:M15" xr:uid="{00000000-0009-0000-0100-000002000000}"/>
  <tableColumns count="13">
    <tableColumn id="1" xr3:uid="{00000000-0010-0000-0100-000001000000}" name="ID"/>
    <tableColumn id="2" xr3:uid="{00000000-0010-0000-0100-000002000000}" name="Épico"/>
    <tableColumn id="3" xr3:uid="{00000000-0010-0000-0100-000003000000}" name="Tarefa"/>
    <tableColumn id="4" xr3:uid="{00000000-0010-0000-0100-000004000000}" name="Responsável"/>
    <tableColumn id="5" xr3:uid="{00000000-0010-0000-0100-000005000000}" name="Alocação detalhada"/>
    <tableColumn id="6" xr3:uid="{00000000-0010-0000-0100-000006000000}" name="Início"/>
    <tableColumn id="7" xr3:uid="{00000000-0010-0000-0100-000007000000}" name="Fim"/>
    <tableColumn id="8" xr3:uid="{00000000-0010-0000-0100-000008000000}" name="Período"/>
    <tableColumn id="9" xr3:uid="{00000000-0010-0000-0100-000009000000}" name="Horas Estimadas"/>
    <tableColumn id="10" xr3:uid="{00000000-0010-0000-0100-00000A000000}" name="Status"/>
    <tableColumn id="11" xr3:uid="{00000000-0010-0000-0100-00000B000000}" name="Ausência / Impacto"/>
    <tableColumn id="12" xr3:uid="{00000000-0010-0000-0100-00000C000000}" name="Mitigação"/>
    <tableColumn id="13" xr3:uid="{00000000-0010-0000-0100-00000D000000}" name="Critério de acei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elaAlocacaoSprint3" displayName="TabelaAlocacaoSprint3" ref="A5:I11">
  <autoFilter ref="A5:I11" xr:uid="{00000000-0009-0000-0100-000003000000}"/>
  <tableColumns count="9">
    <tableColumn id="1" xr3:uid="{00000000-0010-0000-0200-000001000000}" name="Colaborador"/>
    <tableColumn id="2" xr3:uid="{00000000-0010-0000-0200-000002000000}" name="Papel"/>
    <tableColumn id="3" xr3:uid="{00000000-0010-0000-0200-000003000000}" name="Capacidade planejada (h)"/>
    <tableColumn id="4" xr3:uid="{00000000-0010-0000-0200-000004000000}" name="Horas de ausência"/>
    <tableColumn id="5" xr3:uid="{00000000-0010-0000-0200-000005000000}" name="Capacidade efetiva (h)"/>
    <tableColumn id="6" xr3:uid="{00000000-0010-0000-0200-000006000000}" name="Horas alocadas"/>
    <tableColumn id="7" xr3:uid="{00000000-0010-0000-0200-000007000000}" name="Folga / Risco (h)"/>
    <tableColumn id="8" xr3:uid="{00000000-0010-0000-0200-000008000000}" name="Utilização (%)"/>
    <tableColumn id="9" xr3:uid="{00000000-0010-0000-0200-000009000000}" name="Tarefas vinculad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AusenciasSprint3" displayName="TabelaAusenciasSprint3" ref="A5:I7">
  <autoFilter ref="A5:I7" xr:uid="{00000000-0009-0000-0100-000004000000}"/>
  <tableColumns count="9">
    <tableColumn id="1" xr3:uid="{00000000-0010-0000-0300-000001000000}" name="ID"/>
    <tableColumn id="2" xr3:uid="{00000000-0010-0000-0300-000002000000}" name="Colaborador"/>
    <tableColumn id="3" xr3:uid="{00000000-0010-0000-0300-000003000000}" name="Data"/>
    <tableColumn id="4" xr3:uid="{00000000-0010-0000-0300-000004000000}" name="Período"/>
    <tableColumn id="5" xr3:uid="{00000000-0010-0000-0300-000005000000}" name="Horas"/>
    <tableColumn id="6" xr3:uid="{00000000-0010-0000-0300-000006000000}" name="Motivo"/>
    <tableColumn id="7" xr3:uid="{00000000-0010-0000-0300-000007000000}" name="Tarefa impactada"/>
    <tableColumn id="8" xr3:uid="{00000000-0010-0000-0300-000008000000}" name="Impacto identificado"/>
    <tableColumn id="9" xr3:uid="{00000000-0010-0000-0300-000009000000}" name="Status / Mitig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showGridLines="0" tabSelected="1" workbookViewId="0">
      <selection activeCell="B43" sqref="B43"/>
    </sheetView>
  </sheetViews>
  <sheetFormatPr defaultRowHeight="14.4" x14ac:dyDescent="0.3"/>
  <cols>
    <col min="1" max="1" width="18.88671875" customWidth="1"/>
    <col min="2" max="2" width="57.21875" customWidth="1"/>
    <col min="3" max="3" width="2.5546875" customWidth="1"/>
    <col min="4" max="6" width="17.44140625" customWidth="1"/>
    <col min="7" max="8" width="18.88671875" customWidth="1"/>
    <col min="9" max="10" width="15.44140625" customWidth="1"/>
  </cols>
  <sheetData>
    <row r="1" spans="1:10" ht="43.5" customHeight="1" x14ac:dyDescent="0.3">
      <c r="A1" s="15" t="s">
        <v>0</v>
      </c>
      <c r="B1" s="15" t="s">
        <v>0</v>
      </c>
      <c r="C1" s="15" t="s">
        <v>0</v>
      </c>
      <c r="D1" s="15" t="s">
        <v>0</v>
      </c>
      <c r="E1" s="15" t="s">
        <v>0</v>
      </c>
      <c r="F1" s="15" t="s">
        <v>0</v>
      </c>
      <c r="G1" s="15" t="s">
        <v>0</v>
      </c>
      <c r="H1" s="15" t="s">
        <v>0</v>
      </c>
      <c r="I1" s="15" t="s">
        <v>0</v>
      </c>
      <c r="J1" s="15" t="s">
        <v>0</v>
      </c>
    </row>
    <row r="2" spans="1:10" x14ac:dyDescent="0.3">
      <c r="A2" s="15" t="s">
        <v>0</v>
      </c>
      <c r="B2" s="15" t="s">
        <v>0</v>
      </c>
      <c r="C2" s="15" t="s">
        <v>0</v>
      </c>
      <c r="D2" s="15" t="s">
        <v>0</v>
      </c>
      <c r="E2" s="15" t="s">
        <v>0</v>
      </c>
      <c r="F2" s="15" t="s">
        <v>0</v>
      </c>
      <c r="G2" s="15" t="s">
        <v>0</v>
      </c>
      <c r="H2" s="15" t="s">
        <v>0</v>
      </c>
      <c r="I2" s="15" t="s">
        <v>0</v>
      </c>
      <c r="J2" s="15" t="s">
        <v>0</v>
      </c>
    </row>
    <row r="5" spans="1:10" ht="25.5" customHeight="1" x14ac:dyDescent="0.3">
      <c r="A5" s="1" t="s">
        <v>1</v>
      </c>
      <c r="B5" s="1" t="s">
        <v>2</v>
      </c>
      <c r="D5" s="3" t="s">
        <v>3</v>
      </c>
      <c r="E5" s="3" t="s">
        <v>4</v>
      </c>
      <c r="F5" s="3" t="s">
        <v>5</v>
      </c>
      <c r="G5" s="3" t="s">
        <v>6</v>
      </c>
      <c r="H5" s="5" t="s">
        <v>7</v>
      </c>
    </row>
    <row r="6" spans="1:10" ht="18" x14ac:dyDescent="0.35">
      <c r="A6" s="2" t="s">
        <v>8</v>
      </c>
      <c r="B6" s="2" t="s">
        <v>9</v>
      </c>
      <c r="D6" s="4">
        <f>COUNTA('Backlog Sprint 3'!A6:A15)</f>
        <v>10</v>
      </c>
      <c r="E6" s="4">
        <f>SUM('Backlog Sprint 3'!I6:I15)</f>
        <v>132</v>
      </c>
      <c r="F6" s="4">
        <f>COUNTA(Alocação!A6:A11)</f>
        <v>6</v>
      </c>
      <c r="G6" s="4">
        <f>SUM(Ausências!E6:E7)</f>
        <v>10</v>
      </c>
      <c r="H6" s="6">
        <f>SUM('Backlog Sprint 3'!I6:I15)*250</f>
        <v>33000</v>
      </c>
    </row>
    <row r="7" spans="1:10" x14ac:dyDescent="0.3">
      <c r="A7" s="2" t="s">
        <v>10</v>
      </c>
      <c r="B7" s="2" t="s">
        <v>11</v>
      </c>
    </row>
    <row r="8" spans="1:10" x14ac:dyDescent="0.3">
      <c r="A8" s="2" t="s">
        <v>12</v>
      </c>
      <c r="B8" s="2" t="s">
        <v>13</v>
      </c>
    </row>
    <row r="9" spans="1:10" ht="27.6" x14ac:dyDescent="0.3">
      <c r="A9" s="2" t="s">
        <v>14</v>
      </c>
      <c r="B9" s="2" t="s">
        <v>15</v>
      </c>
    </row>
    <row r="10" spans="1:10" ht="27.6" x14ac:dyDescent="0.3">
      <c r="A10" s="2" t="s">
        <v>16</v>
      </c>
      <c r="B10" s="2" t="s">
        <v>17</v>
      </c>
    </row>
    <row r="12" spans="1:10" x14ac:dyDescent="0.3">
      <c r="A12" s="16" t="s">
        <v>18</v>
      </c>
      <c r="B12" s="17"/>
      <c r="C12" s="17"/>
      <c r="D12" s="17"/>
      <c r="E12" s="17"/>
      <c r="F12" s="17"/>
      <c r="G12" s="17"/>
      <c r="H12" s="17"/>
      <c r="I12" s="17"/>
      <c r="J12" s="17"/>
    </row>
    <row r="13" spans="1:10" ht="21" customHeight="1" x14ac:dyDescent="0.3">
      <c r="A13" s="18" t="s">
        <v>19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84" customHeight="1" x14ac:dyDescent="0.3">
      <c r="A14" s="18"/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3">
      <c r="A15" s="18"/>
      <c r="B15" s="18"/>
      <c r="C15" s="18"/>
      <c r="D15" s="18"/>
      <c r="E15" s="18"/>
      <c r="F15" s="18"/>
      <c r="G15" s="18"/>
      <c r="H15" s="18"/>
      <c r="I15" s="18"/>
      <c r="J15" s="18"/>
    </row>
    <row r="16" spans="1:10" x14ac:dyDescent="0.3">
      <c r="A16" s="18"/>
      <c r="B16" s="18"/>
      <c r="C16" s="18"/>
      <c r="D16" s="18"/>
      <c r="E16" s="18"/>
      <c r="F16" s="18"/>
      <c r="G16" s="18"/>
      <c r="H16" s="18"/>
      <c r="I16" s="18"/>
      <c r="J16" s="18"/>
    </row>
    <row r="17" spans="1:10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3">
      <c r="A18" s="18"/>
      <c r="B18" s="18"/>
      <c r="C18" s="18"/>
      <c r="D18" s="18"/>
      <c r="E18" s="18"/>
      <c r="F18" s="18"/>
      <c r="G18" s="18"/>
      <c r="H18" s="18"/>
      <c r="I18" s="18"/>
      <c r="J18" s="18"/>
    </row>
  </sheetData>
  <mergeCells count="3">
    <mergeCell ref="A1:J2"/>
    <mergeCell ref="A12:J12"/>
    <mergeCell ref="A13:J18"/>
  </mergeCells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7"/>
  <sheetViews>
    <sheetView showGridLines="0" workbookViewId="0">
      <selection sqref="A1:M2"/>
    </sheetView>
  </sheetViews>
  <sheetFormatPr defaultRowHeight="14.4" x14ac:dyDescent="0.3"/>
  <cols>
    <col min="1" max="1" width="10.109375" customWidth="1"/>
    <col min="2" max="2" width="15.44140625" customWidth="1"/>
    <col min="3" max="3" width="43.77734375" customWidth="1"/>
    <col min="4" max="4" width="27.5546875" customWidth="1"/>
    <col min="5" max="5" width="34.33203125" customWidth="1"/>
    <col min="6" max="7" width="13.44140625" customWidth="1"/>
    <col min="8" max="8" width="24.88671875" customWidth="1"/>
    <col min="9" max="9" width="14.77734375" customWidth="1"/>
    <col min="10" max="10" width="19.5546875" customWidth="1"/>
    <col min="11" max="12" width="34.33203125" customWidth="1"/>
    <col min="13" max="13" width="43.77734375" customWidth="1"/>
  </cols>
  <sheetData>
    <row r="1" spans="1:13" ht="43.5" customHeight="1" x14ac:dyDescent="0.3">
      <c r="A1" s="15" t="s">
        <v>20</v>
      </c>
      <c r="B1" s="15" t="s">
        <v>20</v>
      </c>
      <c r="C1" s="15" t="s">
        <v>20</v>
      </c>
      <c r="D1" s="15" t="s">
        <v>20</v>
      </c>
      <c r="E1" s="15" t="s">
        <v>20</v>
      </c>
      <c r="F1" s="15" t="s">
        <v>20</v>
      </c>
      <c r="G1" s="15" t="s">
        <v>20</v>
      </c>
      <c r="H1" s="15" t="s">
        <v>20</v>
      </c>
      <c r="I1" s="15" t="s">
        <v>20</v>
      </c>
      <c r="J1" s="15" t="s">
        <v>20</v>
      </c>
      <c r="K1" s="15" t="s">
        <v>20</v>
      </c>
      <c r="L1" s="15" t="s">
        <v>20</v>
      </c>
      <c r="M1" s="15" t="s">
        <v>20</v>
      </c>
    </row>
    <row r="2" spans="1:13" x14ac:dyDescent="0.3">
      <c r="A2" s="15" t="s">
        <v>20</v>
      </c>
      <c r="B2" s="15" t="s">
        <v>20</v>
      </c>
      <c r="C2" s="15" t="s">
        <v>20</v>
      </c>
      <c r="D2" s="15" t="s">
        <v>20</v>
      </c>
      <c r="E2" s="15" t="s">
        <v>20</v>
      </c>
      <c r="F2" s="15" t="s">
        <v>20</v>
      </c>
      <c r="G2" s="15" t="s">
        <v>20</v>
      </c>
      <c r="H2" s="15" t="s">
        <v>20</v>
      </c>
      <c r="I2" s="15" t="s">
        <v>20</v>
      </c>
      <c r="J2" s="15" t="s">
        <v>20</v>
      </c>
      <c r="K2" s="15" t="s">
        <v>20</v>
      </c>
      <c r="L2" s="15" t="s">
        <v>20</v>
      </c>
      <c r="M2" s="15" t="s">
        <v>20</v>
      </c>
    </row>
    <row r="5" spans="1:13" ht="31.5" customHeight="1" x14ac:dyDescent="0.3">
      <c r="A5" s="1" t="s">
        <v>21</v>
      </c>
      <c r="B5" s="1" t="s">
        <v>22</v>
      </c>
      <c r="C5" s="1" t="s">
        <v>23</v>
      </c>
      <c r="D5" s="1" t="s">
        <v>24</v>
      </c>
      <c r="E5" s="1" t="s">
        <v>25</v>
      </c>
      <c r="F5" s="1" t="s">
        <v>26</v>
      </c>
      <c r="G5" s="1" t="s">
        <v>27</v>
      </c>
      <c r="H5" s="1" t="s">
        <v>12</v>
      </c>
      <c r="I5" s="1" t="s">
        <v>28</v>
      </c>
      <c r="J5" s="1" t="s">
        <v>29</v>
      </c>
      <c r="K5" s="1" t="s">
        <v>30</v>
      </c>
      <c r="L5" s="1" t="s">
        <v>31</v>
      </c>
      <c r="M5" s="1" t="s">
        <v>32</v>
      </c>
    </row>
    <row r="6" spans="1:13" ht="27.6" x14ac:dyDescent="0.3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2" t="s">
        <v>40</v>
      </c>
      <c r="I6" s="7">
        <v>12</v>
      </c>
      <c r="J6" s="2" t="s">
        <v>41</v>
      </c>
      <c r="K6" s="2" t="s">
        <v>42</v>
      </c>
      <c r="L6" s="2" t="s">
        <v>43</v>
      </c>
      <c r="M6" s="2" t="s">
        <v>44</v>
      </c>
    </row>
    <row r="7" spans="1:13" x14ac:dyDescent="0.3">
      <c r="A7" s="9" t="s">
        <v>45</v>
      </c>
      <c r="B7" s="9" t="s">
        <v>34</v>
      </c>
      <c r="C7" s="9" t="s">
        <v>46</v>
      </c>
      <c r="D7" s="9" t="s">
        <v>47</v>
      </c>
      <c r="E7" s="9" t="s">
        <v>48</v>
      </c>
      <c r="F7" s="9" t="s">
        <v>49</v>
      </c>
      <c r="G7" s="9" t="s">
        <v>50</v>
      </c>
      <c r="H7" s="9" t="s">
        <v>51</v>
      </c>
      <c r="I7" s="10">
        <v>14</v>
      </c>
      <c r="J7" s="9" t="s">
        <v>41</v>
      </c>
      <c r="K7" s="9" t="s">
        <v>42</v>
      </c>
      <c r="L7" s="9" t="s">
        <v>52</v>
      </c>
      <c r="M7" s="9" t="s">
        <v>53</v>
      </c>
    </row>
    <row r="8" spans="1:13" ht="27.6" x14ac:dyDescent="0.3">
      <c r="A8" s="2" t="s">
        <v>54</v>
      </c>
      <c r="B8" s="2" t="s">
        <v>34</v>
      </c>
      <c r="C8" s="2" t="s">
        <v>55</v>
      </c>
      <c r="D8" s="2" t="s">
        <v>47</v>
      </c>
      <c r="E8" s="2" t="s">
        <v>56</v>
      </c>
      <c r="F8" s="2" t="s">
        <v>57</v>
      </c>
      <c r="G8" s="2" t="s">
        <v>58</v>
      </c>
      <c r="H8" s="2" t="s">
        <v>59</v>
      </c>
      <c r="I8" s="7">
        <v>12</v>
      </c>
      <c r="J8" s="2" t="s">
        <v>41</v>
      </c>
      <c r="K8" s="2" t="s">
        <v>42</v>
      </c>
      <c r="L8" s="2" t="s">
        <v>60</v>
      </c>
      <c r="M8" s="2" t="s">
        <v>61</v>
      </c>
    </row>
    <row r="9" spans="1:13" ht="27.6" x14ac:dyDescent="0.3">
      <c r="A9" s="9" t="s">
        <v>62</v>
      </c>
      <c r="B9" s="9" t="s">
        <v>63</v>
      </c>
      <c r="C9" s="9" t="s">
        <v>64</v>
      </c>
      <c r="D9" s="9" t="s">
        <v>47</v>
      </c>
      <c r="E9" s="9" t="s">
        <v>65</v>
      </c>
      <c r="F9" s="9" t="s">
        <v>39</v>
      </c>
      <c r="G9" s="9" t="s">
        <v>66</v>
      </c>
      <c r="H9" s="9" t="s">
        <v>67</v>
      </c>
      <c r="I9" s="10">
        <v>10</v>
      </c>
      <c r="J9" s="9" t="s">
        <v>41</v>
      </c>
      <c r="K9" s="9" t="s">
        <v>42</v>
      </c>
      <c r="L9" s="9" t="s">
        <v>68</v>
      </c>
      <c r="M9" s="9" t="s">
        <v>69</v>
      </c>
    </row>
    <row r="10" spans="1:13" ht="27.6" x14ac:dyDescent="0.3">
      <c r="A10" s="2" t="s">
        <v>70</v>
      </c>
      <c r="B10" s="2" t="s">
        <v>63</v>
      </c>
      <c r="C10" s="2" t="s">
        <v>71</v>
      </c>
      <c r="D10" s="2" t="s">
        <v>36</v>
      </c>
      <c r="E10" s="2" t="s">
        <v>72</v>
      </c>
      <c r="F10" s="2" t="s">
        <v>57</v>
      </c>
      <c r="G10" s="2" t="s">
        <v>73</v>
      </c>
      <c r="H10" s="2" t="s">
        <v>74</v>
      </c>
      <c r="I10" s="7">
        <v>12</v>
      </c>
      <c r="J10" s="2" t="s">
        <v>75</v>
      </c>
      <c r="K10" s="2" t="s">
        <v>76</v>
      </c>
      <c r="L10" s="2" t="s">
        <v>77</v>
      </c>
      <c r="M10" s="2" t="s">
        <v>78</v>
      </c>
    </row>
    <row r="11" spans="1:13" ht="27.6" x14ac:dyDescent="0.3">
      <c r="A11" s="9" t="s">
        <v>79</v>
      </c>
      <c r="B11" s="9" t="s">
        <v>80</v>
      </c>
      <c r="C11" s="9" t="s">
        <v>81</v>
      </c>
      <c r="D11" s="9" t="s">
        <v>36</v>
      </c>
      <c r="E11" s="9" t="s">
        <v>82</v>
      </c>
      <c r="F11" s="9" t="s">
        <v>50</v>
      </c>
      <c r="G11" s="9" t="s">
        <v>83</v>
      </c>
      <c r="H11" s="9" t="s">
        <v>84</v>
      </c>
      <c r="I11" s="10">
        <v>24</v>
      </c>
      <c r="J11" s="9" t="s">
        <v>75</v>
      </c>
      <c r="K11" s="9" t="s">
        <v>85</v>
      </c>
      <c r="L11" s="9" t="s">
        <v>86</v>
      </c>
      <c r="M11" s="9" t="s">
        <v>87</v>
      </c>
    </row>
    <row r="12" spans="1:13" ht="27.6" x14ac:dyDescent="0.3">
      <c r="A12" s="2" t="s">
        <v>88</v>
      </c>
      <c r="B12" s="2" t="s">
        <v>89</v>
      </c>
      <c r="C12" s="2" t="s">
        <v>90</v>
      </c>
      <c r="D12" s="2" t="s">
        <v>47</v>
      </c>
      <c r="E12" s="2" t="s">
        <v>91</v>
      </c>
      <c r="F12" s="2" t="s">
        <v>58</v>
      </c>
      <c r="G12" s="2" t="s">
        <v>83</v>
      </c>
      <c r="H12" s="2" t="s">
        <v>92</v>
      </c>
      <c r="I12" s="7">
        <v>18</v>
      </c>
      <c r="J12" s="2" t="s">
        <v>41</v>
      </c>
      <c r="K12" s="2" t="s">
        <v>42</v>
      </c>
      <c r="L12" s="2" t="s">
        <v>93</v>
      </c>
      <c r="M12" s="2" t="s">
        <v>94</v>
      </c>
    </row>
    <row r="13" spans="1:13" ht="27.6" x14ac:dyDescent="0.3">
      <c r="A13" s="9" t="s">
        <v>95</v>
      </c>
      <c r="B13" s="9" t="s">
        <v>96</v>
      </c>
      <c r="C13" s="9" t="s">
        <v>97</v>
      </c>
      <c r="D13" s="9" t="s">
        <v>98</v>
      </c>
      <c r="E13" s="9" t="s">
        <v>99</v>
      </c>
      <c r="F13" s="9" t="s">
        <v>73</v>
      </c>
      <c r="G13" s="9" t="s">
        <v>83</v>
      </c>
      <c r="H13" s="9" t="s">
        <v>100</v>
      </c>
      <c r="I13" s="10">
        <v>8</v>
      </c>
      <c r="J13" s="9" t="s">
        <v>41</v>
      </c>
      <c r="K13" s="9" t="s">
        <v>42</v>
      </c>
      <c r="L13" s="9" t="s">
        <v>101</v>
      </c>
      <c r="M13" s="9" t="s">
        <v>102</v>
      </c>
    </row>
    <row r="14" spans="1:13" ht="27.6" x14ac:dyDescent="0.3">
      <c r="A14" s="2" t="s">
        <v>103</v>
      </c>
      <c r="B14" s="2" t="s">
        <v>104</v>
      </c>
      <c r="C14" s="2" t="s">
        <v>105</v>
      </c>
      <c r="D14" s="2" t="s">
        <v>106</v>
      </c>
      <c r="E14" s="2" t="s">
        <v>107</v>
      </c>
      <c r="F14" s="2" t="s">
        <v>73</v>
      </c>
      <c r="G14" s="2" t="s">
        <v>108</v>
      </c>
      <c r="H14" s="2" t="s">
        <v>109</v>
      </c>
      <c r="I14" s="7">
        <v>18</v>
      </c>
      <c r="J14" s="2" t="s">
        <v>41</v>
      </c>
      <c r="K14" s="2" t="s">
        <v>110</v>
      </c>
      <c r="L14" s="2" t="s">
        <v>111</v>
      </c>
      <c r="M14" s="2" t="s">
        <v>112</v>
      </c>
    </row>
    <row r="15" spans="1:13" ht="27.6" x14ac:dyDescent="0.3">
      <c r="A15" s="9" t="s">
        <v>113</v>
      </c>
      <c r="B15" s="9" t="s">
        <v>114</v>
      </c>
      <c r="C15" s="9" t="s">
        <v>115</v>
      </c>
      <c r="D15" s="9" t="s">
        <v>116</v>
      </c>
      <c r="E15" s="9" t="s">
        <v>117</v>
      </c>
      <c r="F15" s="9" t="s">
        <v>118</v>
      </c>
      <c r="G15" s="9" t="s">
        <v>118</v>
      </c>
      <c r="H15" s="9" t="s">
        <v>118</v>
      </c>
      <c r="I15" s="10">
        <v>4</v>
      </c>
      <c r="J15" s="9" t="s">
        <v>41</v>
      </c>
      <c r="K15" s="9" t="s">
        <v>42</v>
      </c>
      <c r="L15" s="9" t="s">
        <v>119</v>
      </c>
      <c r="M15" s="9" t="s">
        <v>120</v>
      </c>
    </row>
    <row r="17" spans="1:13" ht="25.5" customHeight="1" x14ac:dyDescent="0.3">
      <c r="A17" s="19" t="s">
        <v>121</v>
      </c>
      <c r="B17" s="19"/>
      <c r="C17" s="19"/>
      <c r="D17" s="19"/>
      <c r="E17" s="19"/>
      <c r="F17" s="19"/>
      <c r="G17" s="19"/>
      <c r="H17" s="19"/>
      <c r="I17" s="8">
        <f>SUM(I6:I15)</f>
        <v>132</v>
      </c>
      <c r="J17" s="19" t="s">
        <v>122</v>
      </c>
      <c r="K17" s="19"/>
      <c r="L17" s="20">
        <f>I17*250</f>
        <v>33000</v>
      </c>
      <c r="M17" s="20"/>
    </row>
  </sheetData>
  <mergeCells count="4">
    <mergeCell ref="A1:M2"/>
    <mergeCell ref="A17:H17"/>
    <mergeCell ref="J17:K17"/>
    <mergeCell ref="L17:M17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showGridLines="0" workbookViewId="0">
      <selection sqref="A1:I2"/>
    </sheetView>
  </sheetViews>
  <sheetFormatPr defaultRowHeight="14.4" x14ac:dyDescent="0.3"/>
  <cols>
    <col min="1" max="2" width="30.21875" customWidth="1"/>
    <col min="3" max="3" width="19.5546875" customWidth="1"/>
    <col min="4" max="4" width="17.44140625" customWidth="1"/>
    <col min="5" max="5" width="19.5546875" customWidth="1"/>
    <col min="6" max="6" width="16.77734375" customWidth="1"/>
    <col min="7" max="7" width="17.44140625" customWidth="1"/>
    <col min="8" max="8" width="15.44140625" customWidth="1"/>
    <col min="9" max="9" width="38.33203125" customWidth="1"/>
  </cols>
  <sheetData>
    <row r="1" spans="1:9" ht="43.5" customHeight="1" x14ac:dyDescent="0.3">
      <c r="A1" s="15" t="s">
        <v>123</v>
      </c>
      <c r="B1" s="15" t="s">
        <v>123</v>
      </c>
      <c r="C1" s="15" t="s">
        <v>123</v>
      </c>
      <c r="D1" s="15" t="s">
        <v>123</v>
      </c>
      <c r="E1" s="15" t="s">
        <v>123</v>
      </c>
      <c r="F1" s="15" t="s">
        <v>123</v>
      </c>
      <c r="G1" s="15" t="s">
        <v>123</v>
      </c>
      <c r="H1" s="15" t="s">
        <v>123</v>
      </c>
      <c r="I1" s="15" t="s">
        <v>123</v>
      </c>
    </row>
    <row r="2" spans="1:9" x14ac:dyDescent="0.3">
      <c r="A2" s="15" t="s">
        <v>123</v>
      </c>
      <c r="B2" s="15" t="s">
        <v>123</v>
      </c>
      <c r="C2" s="15" t="s">
        <v>123</v>
      </c>
      <c r="D2" s="15" t="s">
        <v>123</v>
      </c>
      <c r="E2" s="15" t="s">
        <v>123</v>
      </c>
      <c r="F2" s="15" t="s">
        <v>123</v>
      </c>
      <c r="G2" s="15" t="s">
        <v>123</v>
      </c>
      <c r="H2" s="15" t="s">
        <v>123</v>
      </c>
      <c r="I2" s="15" t="s">
        <v>123</v>
      </c>
    </row>
    <row r="5" spans="1:9" ht="31.5" customHeight="1" x14ac:dyDescent="0.3">
      <c r="A5" s="1" t="s">
        <v>124</v>
      </c>
      <c r="B5" s="1" t="s">
        <v>125</v>
      </c>
      <c r="C5" s="1" t="s">
        <v>126</v>
      </c>
      <c r="D5" s="1" t="s">
        <v>6</v>
      </c>
      <c r="E5" s="1" t="s">
        <v>127</v>
      </c>
      <c r="F5" s="1" t="s">
        <v>128</v>
      </c>
      <c r="G5" s="1" t="s">
        <v>129</v>
      </c>
      <c r="H5" s="1" t="s">
        <v>130</v>
      </c>
      <c r="I5" s="1" t="s">
        <v>131</v>
      </c>
    </row>
    <row r="6" spans="1:9" x14ac:dyDescent="0.3">
      <c r="A6" s="2" t="s">
        <v>116</v>
      </c>
      <c r="B6" s="2" t="s">
        <v>132</v>
      </c>
      <c r="C6" s="7">
        <v>32</v>
      </c>
      <c r="D6" s="7">
        <v>0</v>
      </c>
      <c r="E6" s="7">
        <f t="shared" ref="E6:E11" si="0">C6-D6</f>
        <v>32</v>
      </c>
      <c r="F6" s="7">
        <v>5</v>
      </c>
      <c r="G6" s="7">
        <f t="shared" ref="G6:G11" si="1">E6-F6</f>
        <v>27</v>
      </c>
      <c r="H6" s="11">
        <f t="shared" ref="H6:H11" si="2">IF(E6=0,"",F6/E6)</f>
        <v>0.15625</v>
      </c>
      <c r="I6" s="2" t="s">
        <v>133</v>
      </c>
    </row>
    <row r="7" spans="1:9" x14ac:dyDescent="0.3">
      <c r="A7" s="9" t="s">
        <v>36</v>
      </c>
      <c r="B7" s="9" t="s">
        <v>134</v>
      </c>
      <c r="C7" s="10">
        <v>72</v>
      </c>
      <c r="D7" s="10">
        <v>6</v>
      </c>
      <c r="E7" s="10">
        <f t="shared" si="0"/>
        <v>66</v>
      </c>
      <c r="F7" s="10">
        <v>41</v>
      </c>
      <c r="G7" s="10">
        <f t="shared" si="1"/>
        <v>25</v>
      </c>
      <c r="H7" s="14">
        <f t="shared" si="2"/>
        <v>0.62121212121212122</v>
      </c>
      <c r="I7" s="9" t="s">
        <v>135</v>
      </c>
    </row>
    <row r="8" spans="1:9" x14ac:dyDescent="0.3">
      <c r="A8" s="2" t="s">
        <v>47</v>
      </c>
      <c r="B8" s="2" t="s">
        <v>136</v>
      </c>
      <c r="C8" s="7">
        <v>72</v>
      </c>
      <c r="D8" s="7">
        <v>0</v>
      </c>
      <c r="E8" s="7">
        <f t="shared" si="0"/>
        <v>72</v>
      </c>
      <c r="F8" s="7">
        <v>54</v>
      </c>
      <c r="G8" s="7">
        <f t="shared" si="1"/>
        <v>18</v>
      </c>
      <c r="H8" s="11">
        <f t="shared" si="2"/>
        <v>0.75</v>
      </c>
      <c r="I8" s="2" t="s">
        <v>137</v>
      </c>
    </row>
    <row r="9" spans="1:9" x14ac:dyDescent="0.3">
      <c r="A9" s="9" t="s">
        <v>98</v>
      </c>
      <c r="B9" s="9" t="s">
        <v>138</v>
      </c>
      <c r="C9" s="10">
        <v>40</v>
      </c>
      <c r="D9" s="10">
        <v>0</v>
      </c>
      <c r="E9" s="10">
        <f t="shared" si="0"/>
        <v>40</v>
      </c>
      <c r="F9" s="10">
        <v>10</v>
      </c>
      <c r="G9" s="10">
        <f t="shared" si="1"/>
        <v>30</v>
      </c>
      <c r="H9" s="14">
        <f t="shared" si="2"/>
        <v>0.25</v>
      </c>
      <c r="I9" s="9" t="s">
        <v>139</v>
      </c>
    </row>
    <row r="10" spans="1:9" x14ac:dyDescent="0.3">
      <c r="A10" s="2" t="s">
        <v>106</v>
      </c>
      <c r="B10" s="2" t="s">
        <v>140</v>
      </c>
      <c r="C10" s="7">
        <v>48</v>
      </c>
      <c r="D10" s="7">
        <v>4</v>
      </c>
      <c r="E10" s="7">
        <f t="shared" si="0"/>
        <v>44</v>
      </c>
      <c r="F10" s="7">
        <v>19</v>
      </c>
      <c r="G10" s="7">
        <f t="shared" si="1"/>
        <v>25</v>
      </c>
      <c r="H10" s="11">
        <f t="shared" si="2"/>
        <v>0.43181818181818182</v>
      </c>
      <c r="I10" s="2" t="s">
        <v>141</v>
      </c>
    </row>
    <row r="11" spans="1:9" x14ac:dyDescent="0.3">
      <c r="A11" s="9" t="s">
        <v>142</v>
      </c>
      <c r="B11" s="9" t="s">
        <v>143</v>
      </c>
      <c r="C11" s="10">
        <v>24</v>
      </c>
      <c r="D11" s="10">
        <v>0</v>
      </c>
      <c r="E11" s="10">
        <f t="shared" si="0"/>
        <v>24</v>
      </c>
      <c r="F11" s="10">
        <v>3</v>
      </c>
      <c r="G11" s="10">
        <f t="shared" si="1"/>
        <v>21</v>
      </c>
      <c r="H11" s="14">
        <f t="shared" si="2"/>
        <v>0.125</v>
      </c>
      <c r="I11" s="9" t="s">
        <v>70</v>
      </c>
    </row>
    <row r="13" spans="1:9" ht="25.5" customHeight="1" x14ac:dyDescent="0.3">
      <c r="A13" s="19" t="s">
        <v>144</v>
      </c>
      <c r="B13" s="19"/>
      <c r="C13" s="12">
        <f>SUM(C6:C11)</f>
        <v>288</v>
      </c>
      <c r="D13" s="12">
        <f>SUM(D6:D11)</f>
        <v>10</v>
      </c>
      <c r="E13" s="12">
        <f>SUM(E6:E11)</f>
        <v>278</v>
      </c>
      <c r="F13" s="12">
        <f>SUM(F6:F11)</f>
        <v>132</v>
      </c>
      <c r="G13" s="12">
        <f>SUM(G6:G11)</f>
        <v>146</v>
      </c>
      <c r="H13" s="13">
        <f>IF(E13=0,"",F13/E13)</f>
        <v>0.47482014388489208</v>
      </c>
      <c r="I13" s="8"/>
    </row>
  </sheetData>
  <mergeCells count="2">
    <mergeCell ref="A1:I2"/>
    <mergeCell ref="A13:B13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"/>
  <sheetViews>
    <sheetView showGridLines="0" workbookViewId="0">
      <selection sqref="A1:I2"/>
    </sheetView>
  </sheetViews>
  <sheetFormatPr defaultRowHeight="14.4" x14ac:dyDescent="0.3"/>
  <cols>
    <col min="1" max="1" width="11.44140625" customWidth="1"/>
    <col min="2" max="2" width="30.21875" customWidth="1"/>
    <col min="3" max="3" width="14.77734375" customWidth="1"/>
    <col min="4" max="4" width="12.77734375" customWidth="1"/>
    <col min="5" max="5" width="10.109375" customWidth="1"/>
    <col min="6" max="6" width="33" customWidth="1"/>
    <col min="7" max="7" width="16.77734375" customWidth="1"/>
    <col min="8" max="8" width="41" customWidth="1"/>
    <col min="9" max="9" width="30.21875" customWidth="1"/>
  </cols>
  <sheetData>
    <row r="1" spans="1:9" ht="43.5" customHeight="1" x14ac:dyDescent="0.3">
      <c r="A1" s="15" t="s">
        <v>145</v>
      </c>
      <c r="B1" s="15" t="s">
        <v>145</v>
      </c>
      <c r="C1" s="15" t="s">
        <v>145</v>
      </c>
      <c r="D1" s="15" t="s">
        <v>145</v>
      </c>
      <c r="E1" s="15" t="s">
        <v>145</v>
      </c>
      <c r="F1" s="15" t="s">
        <v>145</v>
      </c>
      <c r="G1" s="15" t="s">
        <v>145</v>
      </c>
      <c r="H1" s="15" t="s">
        <v>145</v>
      </c>
      <c r="I1" s="15" t="s">
        <v>145</v>
      </c>
    </row>
    <row r="2" spans="1:9" x14ac:dyDescent="0.3">
      <c r="A2" s="15" t="s">
        <v>145</v>
      </c>
      <c r="B2" s="15" t="s">
        <v>145</v>
      </c>
      <c r="C2" s="15" t="s">
        <v>145</v>
      </c>
      <c r="D2" s="15" t="s">
        <v>145</v>
      </c>
      <c r="E2" s="15" t="s">
        <v>145</v>
      </c>
      <c r="F2" s="15" t="s">
        <v>145</v>
      </c>
      <c r="G2" s="15" t="s">
        <v>145</v>
      </c>
      <c r="H2" s="15" t="s">
        <v>145</v>
      </c>
      <c r="I2" s="15" t="s">
        <v>145</v>
      </c>
    </row>
    <row r="5" spans="1:9" ht="31.5" customHeight="1" x14ac:dyDescent="0.3">
      <c r="A5" s="1" t="s">
        <v>21</v>
      </c>
      <c r="B5" s="1" t="s">
        <v>124</v>
      </c>
      <c r="C5" s="1" t="s">
        <v>146</v>
      </c>
      <c r="D5" s="1" t="s">
        <v>12</v>
      </c>
      <c r="E5" s="1" t="s">
        <v>147</v>
      </c>
      <c r="F5" s="1" t="s">
        <v>148</v>
      </c>
      <c r="G5" s="1" t="s">
        <v>149</v>
      </c>
      <c r="H5" s="1" t="s">
        <v>150</v>
      </c>
      <c r="I5" s="1" t="s">
        <v>151</v>
      </c>
    </row>
    <row r="6" spans="1:9" ht="27.6" x14ac:dyDescent="0.3">
      <c r="A6" s="2" t="s">
        <v>152</v>
      </c>
      <c r="B6" s="2" t="s">
        <v>36</v>
      </c>
      <c r="C6" s="2" t="s">
        <v>58</v>
      </c>
      <c r="D6" s="2" t="s">
        <v>153</v>
      </c>
      <c r="E6" s="7">
        <v>6</v>
      </c>
      <c r="F6" s="2" t="s">
        <v>154</v>
      </c>
      <c r="G6" s="2" t="s">
        <v>79</v>
      </c>
      <c r="H6" s="2" t="s">
        <v>155</v>
      </c>
      <c r="I6" s="2" t="s">
        <v>156</v>
      </c>
    </row>
    <row r="7" spans="1:9" x14ac:dyDescent="0.3">
      <c r="A7" s="9" t="s">
        <v>157</v>
      </c>
      <c r="B7" s="9" t="s">
        <v>106</v>
      </c>
      <c r="C7" s="9" t="s">
        <v>158</v>
      </c>
      <c r="D7" s="9" t="s">
        <v>159</v>
      </c>
      <c r="E7" s="10">
        <v>4</v>
      </c>
      <c r="F7" s="9" t="s">
        <v>160</v>
      </c>
      <c r="G7" s="9" t="s">
        <v>103</v>
      </c>
      <c r="H7" s="9" t="s">
        <v>161</v>
      </c>
      <c r="I7" s="9" t="s">
        <v>156</v>
      </c>
    </row>
    <row r="10" spans="1:9" ht="39" customHeight="1" x14ac:dyDescent="0.3">
      <c r="A10" s="21" t="s">
        <v>162</v>
      </c>
      <c r="B10" s="17"/>
      <c r="C10" s="17"/>
      <c r="D10" s="17"/>
      <c r="E10" s="17"/>
      <c r="F10" s="17"/>
      <c r="G10" s="17"/>
      <c r="H10" s="17"/>
      <c r="I10" s="17"/>
    </row>
  </sheetData>
  <mergeCells count="2">
    <mergeCell ref="A1:I2"/>
    <mergeCell ref="A10:I10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Resumo</vt:lpstr>
      <vt:lpstr>Backlog Sprint 3</vt:lpstr>
      <vt:lpstr>Alocação</vt:lpstr>
      <vt:lpstr>Ausências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Alysson</dc:creator>
  <cp:lastModifiedBy>Cache Windows</cp:lastModifiedBy>
  <dcterms:created xsi:type="dcterms:W3CDTF">2026-05-03T21:30:35Z</dcterms:created>
  <dcterms:modified xsi:type="dcterms:W3CDTF">2026-05-03T21:30:35Z</dcterms:modified>
</cp:coreProperties>
</file>