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ysson\Desktop\Escopo\Documentos Modelo\"/>
    </mc:Choice>
  </mc:AlternateContent>
  <xr:revisionPtr revIDLastSave="0" documentId="13_ncr:1_{9CE02A97-8CD4-4DC3-BF32-AD8C05093C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s" sheetId="1" r:id="rId1"/>
    <sheet name="Gráfic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2" l="1"/>
  <c r="B15" i="2"/>
  <c r="A15" i="2"/>
  <c r="C14" i="2"/>
  <c r="B14" i="2"/>
  <c r="A14" i="2"/>
  <c r="C13" i="2"/>
  <c r="B13" i="2"/>
  <c r="A13" i="2"/>
  <c r="E12" i="2"/>
  <c r="C12" i="2"/>
  <c r="B12" i="2"/>
  <c r="A12" i="2"/>
  <c r="C11" i="2"/>
  <c r="B11" i="2"/>
  <c r="A11" i="2"/>
  <c r="C10" i="2"/>
  <c r="B10" i="2"/>
  <c r="A10" i="2"/>
  <c r="C9" i="2"/>
  <c r="B9" i="2"/>
  <c r="A9" i="2"/>
  <c r="F14" i="1"/>
  <c r="E14" i="1"/>
  <c r="A5" i="2" s="1"/>
  <c r="I12" i="1"/>
  <c r="E15" i="2" s="1"/>
  <c r="H12" i="1"/>
  <c r="D15" i="2" s="1"/>
  <c r="G12" i="1"/>
  <c r="I11" i="1"/>
  <c r="E14" i="2" s="1"/>
  <c r="H11" i="1"/>
  <c r="D14" i="2" s="1"/>
  <c r="G11" i="1"/>
  <c r="I10" i="1"/>
  <c r="E13" i="2" s="1"/>
  <c r="H10" i="1"/>
  <c r="D13" i="2" s="1"/>
  <c r="G10" i="1"/>
  <c r="I9" i="1"/>
  <c r="H9" i="1"/>
  <c r="D12" i="2" s="1"/>
  <c r="G9" i="1"/>
  <c r="I8" i="1"/>
  <c r="E11" i="2" s="1"/>
  <c r="H8" i="1"/>
  <c r="D11" i="2" s="1"/>
  <c r="G8" i="1"/>
  <c r="I7" i="1"/>
  <c r="E10" i="2" s="1"/>
  <c r="H7" i="1"/>
  <c r="D10" i="2" s="1"/>
  <c r="G7" i="1"/>
  <c r="I6" i="1"/>
  <c r="E9" i="2" s="1"/>
  <c r="H6" i="1"/>
  <c r="D9" i="2" s="1"/>
  <c r="G6" i="1"/>
  <c r="G14" i="1" l="1"/>
  <c r="E5" i="2" s="1"/>
  <c r="C5" i="2"/>
  <c r="H14" i="1"/>
  <c r="G5" i="2" s="1"/>
  <c r="I14" i="1"/>
  <c r="J5" i="2" s="1"/>
</calcChain>
</file>

<file path=xl/sharedStrings.xml><?xml version="1.0" encoding="utf-8"?>
<sst xmlns="http://schemas.openxmlformats.org/spreadsheetml/2006/main" count="172" uniqueCount="46">
  <si>
    <t>Sprints - Sistema de Gestão para MK Barbearia
Medição de horas, acertabilidade e custo por sprint | Custo hora: R$ 250</t>
  </si>
  <si>
    <t>Sprint</t>
  </si>
  <si>
    <t>Período</t>
  </si>
  <si>
    <t>Objetivo</t>
  </si>
  <si>
    <t>Horas Estimadas</t>
  </si>
  <si>
    <t>Horas Gastas</t>
  </si>
  <si>
    <t>Diferença (Horas)</t>
  </si>
  <si>
    <t>Acertabilidade (%)</t>
  </si>
  <si>
    <t>Custo por Sprint (R$)</t>
  </si>
  <si>
    <t>Observações</t>
  </si>
  <si>
    <t>Sprint 0</t>
  </si>
  <si>
    <t>05/04/2026 a 18/04/2026</t>
  </si>
  <si>
    <t>Setup, arquitetura e wireframes</t>
  </si>
  <si>
    <t>Setup concluído com leve esforço adicional em ambiente e governança.</t>
  </si>
  <si>
    <t>Sprint 1</t>
  </si>
  <si>
    <t>19/04/2026 a 02/05/2026</t>
  </si>
  <si>
    <t>Página inicial e autenticação</t>
  </si>
  <si>
    <t>Cadastro/login exigiram ajustes extras em validação e recuperação de senha.</t>
  </si>
  <si>
    <t>Sprint 2</t>
  </si>
  <si>
    <t>03/05/2026 a 16/05/2026</t>
  </si>
  <si>
    <t>Tela inicial logada e agendamento</t>
  </si>
  <si>
    <t>Reuso de componentes reduziu esforço no fluxo de protocolo.</t>
  </si>
  <si>
    <t>Sprint 3</t>
  </si>
  <si>
    <t>17/05/2026 a 30/05/2026</t>
  </si>
  <si>
    <t>Histórico, contato e painel admin</t>
  </si>
  <si>
    <t>Contato por e-mail e calendário admin consumiram margem extra controlada.</t>
  </si>
  <si>
    <t>Sprint 4</t>
  </si>
  <si>
    <t>31/05/2026 a 13/06/2026</t>
  </si>
  <si>
    <t>Admins, ajustes e integração</t>
  </si>
  <si>
    <t>Integrações e RBAC ficaram próximos do planejado, com pequeno ajuste de UX.</t>
  </si>
  <si>
    <t>Sprint 5</t>
  </si>
  <si>
    <t>14/06/2026 a 27/06/2026</t>
  </si>
  <si>
    <t>Testes, homologação e correções</t>
  </si>
  <si>
    <t>Correções de homologação mantidas dentro da reserva técnica.</t>
  </si>
  <si>
    <t>Sprint 6</t>
  </si>
  <si>
    <t>28/06/2026 a 11/07/2026</t>
  </si>
  <si>
    <t>Deploy, documentação e encerramento</t>
  </si>
  <si>
    <t>Acompanhamento de go-live e treinamento demandaram horas adicionais.</t>
  </si>
  <si>
    <t>Gráficos de Desempenho por Sprint
Comparação de horas, acertabilidade e custo total</t>
  </si>
  <si>
    <t>Horas estimadas</t>
  </si>
  <si>
    <t>Horas gastas</t>
  </si>
  <si>
    <t>Diferença total</t>
  </si>
  <si>
    <t>Acertabilidade média</t>
  </si>
  <si>
    <t>Custo total</t>
  </si>
  <si>
    <t>Leitura executiva:
• A maior variação ocorreu na Sprint 3, motivada por ajustes no contato por e-mail e calendário administrativo.
• A acertabilidade total permanece saudável para um projeto de escopo evolutivo.
• O custo total acompanha as horas efetivamente gastas, usando R$ 250 por hora.
• As diferenças positivas indicam estouro de horas; a diferença negativa na Sprint 2 indica economia de esforço.</t>
  </si>
  <si>
    <t xml:space="preserve">   Totais / Indicadores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</si>
</sst>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R$&quot;\ #,##0"/>
  </numFmts>
  <fonts count="6" x14ac:knownFonts="1">
    <font>
      <sz val="11"/>
      <name val="Carlito"/>
    </font>
    <font>
      <b/>
      <sz val="16"/>
      <color rgb="FFFFFFFF"/>
      <name val="Carlito"/>
    </font>
    <font>
      <b/>
      <sz val="10"/>
      <color rgb="FFFFFFFF"/>
      <name val="Carlito"/>
    </font>
    <font>
      <sz val="10"/>
      <color rgb="FF1F2933"/>
      <name val="Carlito"/>
    </font>
    <font>
      <b/>
      <sz val="10"/>
      <color rgb="FFC62828"/>
      <name val="Carlito"/>
    </font>
    <font>
      <b/>
      <sz val="11"/>
      <color rgb="FF1F2933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7F0DA"/>
      </patternFill>
    </fill>
    <fill>
      <patternFill patternType="solid">
        <fgColor rgb="FFF8FAFC"/>
      </patternFill>
    </fill>
    <fill>
      <patternFill patternType="solid">
        <fgColor rgb="FFEAF2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center" wrapText="1"/>
    </xf>
    <xf numFmtId="1" fontId="3" fillId="0" borderId="0" xfId="0" applyNumberFormat="1" applyFont="1" applyFill="1" applyBorder="1" applyAlignment="1">
      <alignment vertical="center" wrapText="1"/>
    </xf>
    <xf numFmtId="164" fontId="3" fillId="0" borderId="0" xfId="0" applyNumberFormat="1" applyFont="1" applyFill="1" applyBorder="1" applyAlignment="1">
      <alignment vertical="center" wrapText="1"/>
    </xf>
    <xf numFmtId="165" fontId="3" fillId="0" borderId="0" xfId="0" applyNumberFormat="1" applyFont="1" applyFill="1" applyBorder="1" applyAlignment="1">
      <alignment vertical="center" wrapText="1"/>
    </xf>
    <xf numFmtId="1" fontId="4" fillId="0" borderId="0" xfId="0" applyNumberFormat="1" applyFont="1" applyFill="1" applyBorder="1" applyAlignment="1">
      <alignment vertical="center" wrapText="1"/>
    </xf>
    <xf numFmtId="0" fontId="5" fillId="4" borderId="0" xfId="0" applyNumberFormat="1" applyFont="1" applyFill="1" applyBorder="1" applyAlignment="1">
      <alignment horizontal="center"/>
    </xf>
    <xf numFmtId="0" fontId="3" fillId="5" borderId="0" xfId="0" applyNumberFormat="1" applyFont="1" applyFill="1" applyBorder="1" applyAlignment="1">
      <alignment vertical="center" wrapText="1"/>
    </xf>
    <xf numFmtId="1" fontId="3" fillId="5" borderId="0" xfId="0" applyNumberFormat="1" applyFont="1" applyFill="1" applyBorder="1" applyAlignment="1">
      <alignment vertical="center" wrapText="1"/>
    </xf>
    <xf numFmtId="1" fontId="4" fillId="5" borderId="0" xfId="0" applyNumberFormat="1" applyFont="1" applyFill="1" applyBorder="1" applyAlignment="1">
      <alignment vertical="center" wrapText="1"/>
    </xf>
    <xf numFmtId="164" fontId="3" fillId="5" borderId="0" xfId="0" applyNumberFormat="1" applyFont="1" applyFill="1" applyBorder="1" applyAlignment="1">
      <alignment vertical="center" wrapText="1"/>
    </xf>
    <xf numFmtId="165" fontId="3" fillId="5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5" fillId="4" borderId="0" xfId="0" applyNumberFormat="1" applyFont="1" applyFill="1" applyBorder="1" applyAlignment="1">
      <alignment horizontal="center" wrapText="1"/>
    </xf>
    <xf numFmtId="0" fontId="5" fillId="4" borderId="0" xfId="0" applyNumberFormat="1" applyFont="1" applyFill="1" applyBorder="1" applyAlignment="1">
      <alignment horizontal="center" vertical="center" wrapText="1"/>
    </xf>
    <xf numFmtId="1" fontId="5" fillId="6" borderId="0" xfId="0" applyNumberFormat="1" applyFont="1" applyFill="1" applyBorder="1" applyAlignment="1">
      <alignment horizontal="center" vertical="center" wrapText="1"/>
    </xf>
    <xf numFmtId="1" fontId="5" fillId="4" borderId="0" xfId="0" applyNumberFormat="1" applyFont="1" applyFill="1" applyBorder="1" applyAlignment="1">
      <alignment horizontal="center" vertical="center" wrapText="1"/>
    </xf>
    <xf numFmtId="164" fontId="5" fillId="4" borderId="0" xfId="0" applyNumberFormat="1" applyFont="1" applyFill="1" applyBorder="1" applyAlignment="1">
      <alignment horizontal="center" vertical="center" wrapText="1"/>
    </xf>
    <xf numFmtId="165" fontId="5" fillId="6" borderId="0" xfId="0" applyNumberFormat="1" applyFont="1" applyFill="1" applyBorder="1" applyAlignment="1">
      <alignment horizontal="center" vertical="center" wrapText="1"/>
    </xf>
    <xf numFmtId="1" fontId="5" fillId="4" borderId="0" xfId="0" applyNumberFormat="1" applyFont="1" applyFill="1" applyBorder="1" applyAlignment="1">
      <alignment vertical="center"/>
    </xf>
    <xf numFmtId="164" fontId="5" fillId="4" borderId="0" xfId="0" applyNumberFormat="1" applyFont="1" applyFill="1" applyBorder="1" applyAlignment="1">
      <alignment vertical="center"/>
    </xf>
    <xf numFmtId="165" fontId="5" fillId="4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3" fillId="7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Horas Estimadas vs Horas Gastas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Horas Estimadas</c:v>
          </c:tx>
          <c:invertIfNegative val="1"/>
          <c:cat>
            <c:strLit>
              <c:ptCount val="7"/>
              <c:pt idx="0">
                <c:v>Sprint 0</c:v>
              </c:pt>
              <c:pt idx="1">
                <c:v>Sprint 1</c:v>
              </c:pt>
              <c:pt idx="2">
                <c:v>Sprint 2</c:v>
              </c:pt>
              <c:pt idx="3">
                <c:v>Sprint 3</c:v>
              </c:pt>
              <c:pt idx="4">
                <c:v>Sprint 4</c:v>
              </c:pt>
              <c:pt idx="5">
                <c:v>Sprint 5</c:v>
              </c:pt>
              <c:pt idx="6">
                <c:v>Sprint 6</c:v>
              </c:pt>
            </c:strLit>
          </c:cat>
          <c:val>
            <c:numLit>
              <c:formatCode>General</c:formatCode>
              <c:ptCount val="7"/>
              <c:pt idx="0">
                <c:v>104</c:v>
              </c:pt>
              <c:pt idx="1">
                <c:v>122</c:v>
              </c:pt>
              <c:pt idx="2">
                <c:v>126</c:v>
              </c:pt>
              <c:pt idx="3">
                <c:v>132</c:v>
              </c:pt>
              <c:pt idx="4">
                <c:v>118</c:v>
              </c:pt>
              <c:pt idx="5">
                <c:v>112</c:v>
              </c:pt>
              <c:pt idx="6">
                <c:v>76</c:v>
              </c:pt>
            </c:numLit>
          </c:val>
          <c:extLst>
            <c:ext xmlns:c16="http://schemas.microsoft.com/office/drawing/2014/chart" uri="{C3380CC4-5D6E-409C-BE32-E72D297353CC}">
              <c16:uniqueId val="{00000000-DA58-42FF-97B1-CBA035F5A1AC}"/>
            </c:ext>
          </c:extLst>
        </c:ser>
        <c:ser>
          <c:idx val="1"/>
          <c:order val="1"/>
          <c:tx>
            <c:v>Horas Gastas</c:v>
          </c:tx>
          <c:invertIfNegative val="1"/>
          <c:cat>
            <c:strLit>
              <c:ptCount val="7"/>
              <c:pt idx="0">
                <c:v>Sprint 0</c:v>
              </c:pt>
              <c:pt idx="1">
                <c:v>Sprint 1</c:v>
              </c:pt>
              <c:pt idx="2">
                <c:v>Sprint 2</c:v>
              </c:pt>
              <c:pt idx="3">
                <c:v>Sprint 3</c:v>
              </c:pt>
              <c:pt idx="4">
                <c:v>Sprint 4</c:v>
              </c:pt>
              <c:pt idx="5">
                <c:v>Sprint 5</c:v>
              </c:pt>
              <c:pt idx="6">
                <c:v>Sprint 6</c:v>
              </c:pt>
            </c:strLit>
          </c:cat>
          <c:val>
            <c:numLit>
              <c:formatCode>General</c:formatCode>
              <c:ptCount val="7"/>
              <c:pt idx="0">
                <c:v>108</c:v>
              </c:pt>
              <c:pt idx="1">
                <c:v>128</c:v>
              </c:pt>
              <c:pt idx="2">
                <c:v>123</c:v>
              </c:pt>
              <c:pt idx="3">
                <c:v>139</c:v>
              </c:pt>
              <c:pt idx="4">
                <c:v>121</c:v>
              </c:pt>
              <c:pt idx="5">
                <c:v>116</c:v>
              </c:pt>
              <c:pt idx="6">
                <c:v>79</c:v>
              </c:pt>
            </c:numLit>
          </c:val>
          <c:extLst>
            <c:ext xmlns:c16="http://schemas.microsoft.com/office/drawing/2014/chart" uri="{C3380CC4-5D6E-409C-BE32-E72D297353CC}">
              <c16:uniqueId val="{00000001-DA58-42FF-97B1-CBA035F5A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Acertabilidade por Sprint (%)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Acertabilidade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7"/>
              <c:pt idx="0">
                <c:v>Sprint 0</c:v>
              </c:pt>
              <c:pt idx="1">
                <c:v>Sprint 1</c:v>
              </c:pt>
              <c:pt idx="2">
                <c:v>Sprint 2</c:v>
              </c:pt>
              <c:pt idx="3">
                <c:v>Sprint 3</c:v>
              </c:pt>
              <c:pt idx="4">
                <c:v>Sprint 4</c:v>
              </c:pt>
              <c:pt idx="5">
                <c:v>Sprint 5</c:v>
              </c:pt>
              <c:pt idx="6">
                <c:v>Sprint 6</c:v>
              </c:pt>
            </c:strLit>
          </c:cat>
          <c:val>
            <c:numLit>
              <c:formatCode>General</c:formatCode>
              <c:ptCount val="7"/>
              <c:pt idx="0">
                <c:v>96.3</c:v>
              </c:pt>
              <c:pt idx="1">
                <c:v>95.3</c:v>
              </c:pt>
              <c:pt idx="2">
                <c:v>102.4</c:v>
              </c:pt>
              <c:pt idx="3">
                <c:v>95</c:v>
              </c:pt>
              <c:pt idx="4">
                <c:v>97.5</c:v>
              </c:pt>
              <c:pt idx="5">
                <c:v>96.6</c:v>
              </c:pt>
              <c:pt idx="6">
                <c:v>96.2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3A7-4705-B649-BB2D567C62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Custo Total por Sprint (R$)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 por Sprint (R$)</c:v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7"/>
              <c:pt idx="0">
                <c:v>Sprint 0</c:v>
              </c:pt>
              <c:pt idx="1">
                <c:v>Sprint 1</c:v>
              </c:pt>
              <c:pt idx="2">
                <c:v>Sprint 2</c:v>
              </c:pt>
              <c:pt idx="3">
                <c:v>Sprint 3</c:v>
              </c:pt>
              <c:pt idx="4">
                <c:v>Sprint 4</c:v>
              </c:pt>
              <c:pt idx="5">
                <c:v>Sprint 5</c:v>
              </c:pt>
              <c:pt idx="6">
                <c:v>Sprint 6</c:v>
              </c:pt>
            </c:strLit>
          </c:cat>
          <c:val>
            <c:numLit>
              <c:formatCode>General</c:formatCode>
              <c:ptCount val="7"/>
              <c:pt idx="0">
                <c:v>27000</c:v>
              </c:pt>
              <c:pt idx="1">
                <c:v>32000</c:v>
              </c:pt>
              <c:pt idx="2">
                <c:v>30750</c:v>
              </c:pt>
              <c:pt idx="3">
                <c:v>34750</c:v>
              </c:pt>
              <c:pt idx="4">
                <c:v>30250</c:v>
              </c:pt>
              <c:pt idx="5">
                <c:v>29000</c:v>
              </c:pt>
              <c:pt idx="6">
                <c:v>19750</c:v>
              </c:pt>
            </c:numLit>
          </c:val>
          <c:extLst>
            <c:ext xmlns:c16="http://schemas.microsoft.com/office/drawing/2014/chart" uri="{C3380CC4-5D6E-409C-BE32-E72D297353CC}">
              <c16:uniqueId val="{00000000-76DC-4A5B-AF21-7DB069D8CD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2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858000" cy="304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16</xdr:row>
      <xdr:rowOff>0</xdr:rowOff>
    </xdr:from>
    <xdr:ext cx="59055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35</xdr:row>
      <xdr:rowOff>0</xdr:rowOff>
    </xdr:from>
    <xdr:ext cx="6858000" cy="30480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Sprints" displayName="TabelaSprints" ref="B5:J12">
  <autoFilter ref="B5:J12" xr:uid="{00000000-0009-0000-0100-000001000000}"/>
  <tableColumns count="9">
    <tableColumn id="1" xr3:uid="{00000000-0010-0000-0000-000001000000}" name="Sprint"/>
    <tableColumn id="2" xr3:uid="{00000000-0010-0000-0000-000002000000}" name="Período"/>
    <tableColumn id="3" xr3:uid="{00000000-0010-0000-0000-000003000000}" name="Objetivo"/>
    <tableColumn id="4" xr3:uid="{00000000-0010-0000-0000-000004000000}" name="Horas Estimadas"/>
    <tableColumn id="5" xr3:uid="{00000000-0010-0000-0000-000005000000}" name="Horas Gastas"/>
    <tableColumn id="6" xr3:uid="{00000000-0010-0000-0000-000006000000}" name="Diferença (Horas)"/>
    <tableColumn id="7" xr3:uid="{00000000-0010-0000-0000-000007000000}" name="Acertabilidade (%)"/>
    <tableColumn id="8" xr3:uid="{00000000-0010-0000-0000-000008000000}" name="Custo por Sprint (R$)"/>
    <tableColumn id="9" xr3:uid="{00000000-0010-0000-0000-000009000000}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seGraficos" displayName="BaseGraficos" ref="A8:E15">
  <autoFilter ref="A8:E15" xr:uid="{00000000-0009-0000-0100-000002000000}"/>
  <tableColumns count="5">
    <tableColumn id="1" xr3:uid="{00000000-0010-0000-0100-000001000000}" name="Sprint"/>
    <tableColumn id="2" xr3:uid="{00000000-0010-0000-0100-000002000000}" name="Horas Estimadas"/>
    <tableColumn id="3" xr3:uid="{00000000-0010-0000-0100-000003000000}" name="Horas Gastas"/>
    <tableColumn id="4" xr3:uid="{00000000-0010-0000-0100-000004000000}" name="Acertabilidade (%)"/>
    <tableColumn id="5" xr3:uid="{00000000-0010-0000-0100-000005000000}" name="Custo por Sprint (R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5"/>
  <sheetViews>
    <sheetView showGridLines="0" tabSelected="1" workbookViewId="0">
      <selection activeCell="I18" sqref="I18"/>
    </sheetView>
  </sheetViews>
  <sheetFormatPr defaultRowHeight="14.4" x14ac:dyDescent="0.3"/>
  <cols>
    <col min="1" max="1" width="2.21875" customWidth="1"/>
    <col min="2" max="2" width="13.44140625" customWidth="1"/>
    <col min="3" max="3" width="23.5546875" customWidth="1"/>
    <col min="4" max="4" width="39.6640625" customWidth="1"/>
    <col min="5" max="5" width="16.77734375" customWidth="1"/>
    <col min="6" max="6" width="15.44140625" customWidth="1"/>
    <col min="7" max="7" width="17.44140625" customWidth="1"/>
    <col min="8" max="8" width="18.88671875" customWidth="1"/>
    <col min="9" max="9" width="20.88671875" customWidth="1"/>
    <col min="10" max="10" width="54.5546875" customWidth="1"/>
  </cols>
  <sheetData>
    <row r="1" spans="2:10" ht="43.5" customHeight="1" x14ac:dyDescent="0.3">
      <c r="B1" s="23" t="s">
        <v>0</v>
      </c>
      <c r="C1" s="23" t="s">
        <v>0</v>
      </c>
      <c r="D1" s="23" t="s">
        <v>0</v>
      </c>
      <c r="E1" s="23" t="s">
        <v>0</v>
      </c>
      <c r="F1" s="23" t="s">
        <v>0</v>
      </c>
      <c r="G1" s="23" t="s">
        <v>0</v>
      </c>
      <c r="H1" s="23" t="s">
        <v>0</v>
      </c>
      <c r="I1" s="23" t="s">
        <v>0</v>
      </c>
      <c r="J1" s="23" t="s">
        <v>0</v>
      </c>
    </row>
    <row r="2" spans="2:10" x14ac:dyDescent="0.3">
      <c r="B2" s="23" t="s">
        <v>0</v>
      </c>
      <c r="C2" s="23" t="s">
        <v>0</v>
      </c>
      <c r="D2" s="23" t="s">
        <v>0</v>
      </c>
      <c r="E2" s="23" t="s">
        <v>0</v>
      </c>
      <c r="F2" s="23" t="s">
        <v>0</v>
      </c>
      <c r="G2" s="23" t="s">
        <v>0</v>
      </c>
      <c r="H2" s="23" t="s">
        <v>0</v>
      </c>
      <c r="I2" s="23" t="s">
        <v>0</v>
      </c>
      <c r="J2" s="23" t="s">
        <v>0</v>
      </c>
    </row>
    <row r="5" spans="2:10" ht="31.5" customHeight="1" x14ac:dyDescent="0.3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 spans="2:10" ht="27.6" x14ac:dyDescent="0.3">
      <c r="B6" s="2" t="s">
        <v>10</v>
      </c>
      <c r="C6" s="2" t="s">
        <v>11</v>
      </c>
      <c r="D6" s="2" t="s">
        <v>12</v>
      </c>
      <c r="E6" s="3">
        <v>104</v>
      </c>
      <c r="F6" s="3">
        <v>108</v>
      </c>
      <c r="G6" s="6">
        <f t="shared" ref="G6:G12" si="0">F6-E6</f>
        <v>4</v>
      </c>
      <c r="H6" s="4">
        <f t="shared" ref="H6:H12" si="1">IF(F6=0,"",(E6/F6)*100)</f>
        <v>96.296296296296291</v>
      </c>
      <c r="I6" s="5">
        <f t="shared" ref="I6:I12" si="2">F6*250</f>
        <v>27000</v>
      </c>
      <c r="J6" s="2" t="s">
        <v>13</v>
      </c>
    </row>
    <row r="7" spans="2:10" ht="27.6" x14ac:dyDescent="0.3">
      <c r="B7" s="8" t="s">
        <v>14</v>
      </c>
      <c r="C7" s="8" t="s">
        <v>15</v>
      </c>
      <c r="D7" s="8" t="s">
        <v>16</v>
      </c>
      <c r="E7" s="9">
        <v>122</v>
      </c>
      <c r="F7" s="9">
        <v>128</v>
      </c>
      <c r="G7" s="10">
        <f t="shared" si="0"/>
        <v>6</v>
      </c>
      <c r="H7" s="11">
        <f t="shared" si="1"/>
        <v>95.3125</v>
      </c>
      <c r="I7" s="12">
        <f t="shared" si="2"/>
        <v>32000</v>
      </c>
      <c r="J7" s="8" t="s">
        <v>17</v>
      </c>
    </row>
    <row r="8" spans="2:10" x14ac:dyDescent="0.3">
      <c r="B8" s="2" t="s">
        <v>18</v>
      </c>
      <c r="C8" s="2" t="s">
        <v>19</v>
      </c>
      <c r="D8" s="2" t="s">
        <v>20</v>
      </c>
      <c r="E8" s="3">
        <v>126</v>
      </c>
      <c r="F8" s="3">
        <v>123</v>
      </c>
      <c r="G8" s="6">
        <f t="shared" si="0"/>
        <v>-3</v>
      </c>
      <c r="H8" s="4">
        <f t="shared" si="1"/>
        <v>102.4390243902439</v>
      </c>
      <c r="I8" s="5">
        <f t="shared" si="2"/>
        <v>30750</v>
      </c>
      <c r="J8" s="2" t="s">
        <v>21</v>
      </c>
    </row>
    <row r="9" spans="2:10" ht="27.6" x14ac:dyDescent="0.3">
      <c r="B9" s="8" t="s">
        <v>22</v>
      </c>
      <c r="C9" s="8" t="s">
        <v>23</v>
      </c>
      <c r="D9" s="8" t="s">
        <v>24</v>
      </c>
      <c r="E9" s="9">
        <v>132</v>
      </c>
      <c r="F9" s="9">
        <v>139</v>
      </c>
      <c r="G9" s="10">
        <f t="shared" si="0"/>
        <v>7</v>
      </c>
      <c r="H9" s="11">
        <f t="shared" si="1"/>
        <v>94.964028776978409</v>
      </c>
      <c r="I9" s="12">
        <f t="shared" si="2"/>
        <v>34750</v>
      </c>
      <c r="J9" s="8" t="s">
        <v>25</v>
      </c>
    </row>
    <row r="10" spans="2:10" ht="27.6" x14ac:dyDescent="0.3">
      <c r="B10" s="2" t="s">
        <v>26</v>
      </c>
      <c r="C10" s="2" t="s">
        <v>27</v>
      </c>
      <c r="D10" s="2" t="s">
        <v>28</v>
      </c>
      <c r="E10" s="3">
        <v>118</v>
      </c>
      <c r="F10" s="3">
        <v>121</v>
      </c>
      <c r="G10" s="6">
        <f t="shared" si="0"/>
        <v>3</v>
      </c>
      <c r="H10" s="4">
        <f t="shared" si="1"/>
        <v>97.52066115702479</v>
      </c>
      <c r="I10" s="5">
        <f t="shared" si="2"/>
        <v>30250</v>
      </c>
      <c r="J10" s="2" t="s">
        <v>29</v>
      </c>
    </row>
    <row r="11" spans="2:10" x14ac:dyDescent="0.3">
      <c r="B11" s="8" t="s">
        <v>30</v>
      </c>
      <c r="C11" s="8" t="s">
        <v>31</v>
      </c>
      <c r="D11" s="8" t="s">
        <v>32</v>
      </c>
      <c r="E11" s="9">
        <v>112</v>
      </c>
      <c r="F11" s="9">
        <v>116</v>
      </c>
      <c r="G11" s="10">
        <f t="shared" si="0"/>
        <v>4</v>
      </c>
      <c r="H11" s="11">
        <f t="shared" si="1"/>
        <v>96.551724137931032</v>
      </c>
      <c r="I11" s="12">
        <f t="shared" si="2"/>
        <v>29000</v>
      </c>
      <c r="J11" s="8" t="s">
        <v>33</v>
      </c>
    </row>
    <row r="12" spans="2:10" ht="27.6" x14ac:dyDescent="0.3">
      <c r="B12" s="2" t="s">
        <v>34</v>
      </c>
      <c r="C12" s="2" t="s">
        <v>35</v>
      </c>
      <c r="D12" s="2" t="s">
        <v>36</v>
      </c>
      <c r="E12" s="3">
        <v>76</v>
      </c>
      <c r="F12" s="3">
        <v>79</v>
      </c>
      <c r="G12" s="6">
        <f t="shared" si="0"/>
        <v>3</v>
      </c>
      <c r="H12" s="4">
        <f t="shared" si="1"/>
        <v>96.202531645569621</v>
      </c>
      <c r="I12" s="5">
        <f t="shared" si="2"/>
        <v>19750</v>
      </c>
      <c r="J12" s="2" t="s">
        <v>37</v>
      </c>
    </row>
    <row r="14" spans="2:10" ht="28.8" x14ac:dyDescent="0.3">
      <c r="B14" s="14" t="s">
        <v>45</v>
      </c>
      <c r="C14" s="7"/>
      <c r="D14" s="7"/>
      <c r="E14" s="20">
        <f>SUM(E6:E12)</f>
        <v>790</v>
      </c>
      <c r="F14" s="20">
        <f>SUM(F6:F12)</f>
        <v>814</v>
      </c>
      <c r="G14" s="20">
        <f>F14-E14</f>
        <v>24</v>
      </c>
      <c r="H14" s="21">
        <f>IF(F14=0,"",(E14/F14)*100)</f>
        <v>97.051597051597042</v>
      </c>
      <c r="I14" s="22">
        <f>SUM(I6:I12)</f>
        <v>203500</v>
      </c>
      <c r="J14" s="7"/>
    </row>
    <row r="15" spans="2:10" ht="25.5" customHeight="1" x14ac:dyDescent="0.3"/>
  </sheetData>
  <mergeCells count="1">
    <mergeCell ref="B1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showGridLines="0" workbookViewId="0">
      <selection activeCell="G8" sqref="G8"/>
    </sheetView>
  </sheetViews>
  <sheetFormatPr defaultRowHeight="14.4" x14ac:dyDescent="0.3"/>
  <cols>
    <col min="1" max="1" width="14.77734375" customWidth="1"/>
    <col min="2" max="2" width="16.77734375" customWidth="1"/>
    <col min="3" max="3" width="15.44140625" customWidth="1"/>
    <col min="4" max="4" width="19.5546875" customWidth="1"/>
    <col min="5" max="5" width="20.88671875" customWidth="1"/>
    <col min="6" max="6" width="5.21875" customWidth="1"/>
    <col min="7" max="12" width="11.6640625" customWidth="1"/>
    <col min="13" max="14" width="10.109375" customWidth="1"/>
  </cols>
  <sheetData>
    <row r="1" spans="1:14" ht="43.5" customHeight="1" x14ac:dyDescent="0.3">
      <c r="A1" s="23" t="s">
        <v>38</v>
      </c>
      <c r="B1" s="23" t="s">
        <v>38</v>
      </c>
      <c r="C1" s="23" t="s">
        <v>38</v>
      </c>
      <c r="D1" s="23" t="s">
        <v>38</v>
      </c>
      <c r="E1" s="23" t="s">
        <v>38</v>
      </c>
      <c r="F1" s="23" t="s">
        <v>38</v>
      </c>
      <c r="G1" s="23" t="s">
        <v>38</v>
      </c>
      <c r="H1" s="23" t="s">
        <v>38</v>
      </c>
      <c r="I1" s="23" t="s">
        <v>38</v>
      </c>
      <c r="J1" s="23" t="s">
        <v>38</v>
      </c>
      <c r="K1" s="23" t="s">
        <v>38</v>
      </c>
      <c r="L1" s="23" t="s">
        <v>38</v>
      </c>
      <c r="M1" s="23" t="s">
        <v>38</v>
      </c>
      <c r="N1" s="23" t="s">
        <v>38</v>
      </c>
    </row>
    <row r="2" spans="1:14" x14ac:dyDescent="0.3">
      <c r="A2" s="23" t="s">
        <v>38</v>
      </c>
      <c r="B2" s="23" t="s">
        <v>38</v>
      </c>
      <c r="C2" s="23" t="s">
        <v>38</v>
      </c>
      <c r="D2" s="23" t="s">
        <v>38</v>
      </c>
      <c r="E2" s="23" t="s">
        <v>38</v>
      </c>
      <c r="F2" s="23" t="s">
        <v>38</v>
      </c>
      <c r="G2" s="23" t="s">
        <v>38</v>
      </c>
      <c r="H2" s="23" t="s">
        <v>38</v>
      </c>
      <c r="I2" s="23" t="s">
        <v>38</v>
      </c>
      <c r="J2" s="23" t="s">
        <v>38</v>
      </c>
      <c r="K2" s="23" t="s">
        <v>38</v>
      </c>
      <c r="L2" s="23" t="s">
        <v>38</v>
      </c>
      <c r="M2" s="23" t="s">
        <v>38</v>
      </c>
      <c r="N2" s="23" t="s">
        <v>38</v>
      </c>
    </row>
    <row r="4" spans="1:14" ht="30.6" customHeight="1" x14ac:dyDescent="0.3">
      <c r="A4" s="13" t="s">
        <v>39</v>
      </c>
      <c r="B4" s="13"/>
      <c r="C4" s="13" t="s">
        <v>40</v>
      </c>
      <c r="D4" s="13"/>
      <c r="E4" s="15" t="s">
        <v>41</v>
      </c>
      <c r="F4" s="15"/>
      <c r="G4" s="15" t="s">
        <v>42</v>
      </c>
      <c r="H4" s="15"/>
      <c r="I4" s="15"/>
      <c r="J4" s="13" t="s">
        <v>43</v>
      </c>
      <c r="K4" s="13"/>
      <c r="L4" s="13"/>
    </row>
    <row r="5" spans="1:14" ht="28.5" customHeight="1" x14ac:dyDescent="0.3">
      <c r="A5" s="16">
        <f>Sprints!E14</f>
        <v>790</v>
      </c>
      <c r="B5" s="16"/>
      <c r="C5" s="16">
        <f>Sprints!F14</f>
        <v>814</v>
      </c>
      <c r="D5" s="16"/>
      <c r="E5" s="17">
        <f>Sprints!G14</f>
        <v>24</v>
      </c>
      <c r="F5" s="17"/>
      <c r="G5" s="18">
        <f>Sprints!H14</f>
        <v>97.051597051597042</v>
      </c>
      <c r="H5" s="18"/>
      <c r="I5" s="18"/>
      <c r="J5" s="19">
        <f>Sprints!I14</f>
        <v>203500</v>
      </c>
      <c r="K5" s="19"/>
      <c r="L5" s="19"/>
    </row>
    <row r="8" spans="1:14" ht="27" customHeight="1" x14ac:dyDescent="0.3">
      <c r="A8" s="1" t="s">
        <v>1</v>
      </c>
      <c r="B8" s="1" t="s">
        <v>4</v>
      </c>
      <c r="C8" s="1" t="s">
        <v>5</v>
      </c>
      <c r="D8" s="1" t="s">
        <v>7</v>
      </c>
      <c r="E8" s="1" t="s">
        <v>8</v>
      </c>
    </row>
    <row r="9" spans="1:14" x14ac:dyDescent="0.3">
      <c r="A9" s="2" t="str">
        <f>Sprints!B6</f>
        <v>Sprint 0</v>
      </c>
      <c r="B9" s="3">
        <f>Sprints!E6</f>
        <v>104</v>
      </c>
      <c r="C9" s="3">
        <f>Sprints!F6</f>
        <v>108</v>
      </c>
      <c r="D9" s="4">
        <f>Sprints!H6</f>
        <v>96.296296296296291</v>
      </c>
      <c r="E9" s="5">
        <f>Sprints!I6</f>
        <v>27000</v>
      </c>
    </row>
    <row r="10" spans="1:14" x14ac:dyDescent="0.3">
      <c r="A10" s="8" t="str">
        <f>Sprints!B7</f>
        <v>Sprint 1</v>
      </c>
      <c r="B10" s="9">
        <f>Sprints!E7</f>
        <v>122</v>
      </c>
      <c r="C10" s="9">
        <f>Sprints!F7</f>
        <v>128</v>
      </c>
      <c r="D10" s="11">
        <f>Sprints!H7</f>
        <v>95.3125</v>
      </c>
      <c r="E10" s="12">
        <f>Sprints!I7</f>
        <v>32000</v>
      </c>
    </row>
    <row r="11" spans="1:14" x14ac:dyDescent="0.3">
      <c r="A11" s="2" t="str">
        <f>Sprints!B8</f>
        <v>Sprint 2</v>
      </c>
      <c r="B11" s="3">
        <f>Sprints!E8</f>
        <v>126</v>
      </c>
      <c r="C11" s="3">
        <f>Sprints!F8</f>
        <v>123</v>
      </c>
      <c r="D11" s="4">
        <f>Sprints!H8</f>
        <v>102.4390243902439</v>
      </c>
      <c r="E11" s="5">
        <f>Sprints!I8</f>
        <v>30750</v>
      </c>
    </row>
    <row r="12" spans="1:14" x14ac:dyDescent="0.3">
      <c r="A12" s="8" t="str">
        <f>Sprints!B9</f>
        <v>Sprint 3</v>
      </c>
      <c r="B12" s="9">
        <f>Sprints!E9</f>
        <v>132</v>
      </c>
      <c r="C12" s="9">
        <f>Sprints!F9</f>
        <v>139</v>
      </c>
      <c r="D12" s="11">
        <f>Sprints!H9</f>
        <v>94.964028776978409</v>
      </c>
      <c r="E12" s="12">
        <f>Sprints!I9</f>
        <v>34750</v>
      </c>
    </row>
    <row r="13" spans="1:14" x14ac:dyDescent="0.3">
      <c r="A13" s="2" t="str">
        <f>Sprints!B10</f>
        <v>Sprint 4</v>
      </c>
      <c r="B13" s="3">
        <f>Sprints!E10</f>
        <v>118</v>
      </c>
      <c r="C13" s="3">
        <f>Sprints!F10</f>
        <v>121</v>
      </c>
      <c r="D13" s="4">
        <f>Sprints!H10</f>
        <v>97.52066115702479</v>
      </c>
      <c r="E13" s="5">
        <f>Sprints!I10</f>
        <v>30250</v>
      </c>
    </row>
    <row r="14" spans="1:14" x14ac:dyDescent="0.3">
      <c r="A14" s="8" t="str">
        <f>Sprints!B11</f>
        <v>Sprint 5</v>
      </c>
      <c r="B14" s="9">
        <f>Sprints!E11</f>
        <v>112</v>
      </c>
      <c r="C14" s="9">
        <f>Sprints!F11</f>
        <v>116</v>
      </c>
      <c r="D14" s="11">
        <f>Sprints!H11</f>
        <v>96.551724137931032</v>
      </c>
      <c r="E14" s="12">
        <f>Sprints!I11</f>
        <v>29000</v>
      </c>
    </row>
    <row r="15" spans="1:14" x14ac:dyDescent="0.3">
      <c r="A15" s="2" t="str">
        <f>Sprints!B12</f>
        <v>Sprint 6</v>
      </c>
      <c r="B15" s="3">
        <f>Sprints!E12</f>
        <v>76</v>
      </c>
      <c r="C15" s="3">
        <f>Sprints!F12</f>
        <v>79</v>
      </c>
      <c r="D15" s="4">
        <f>Sprints!H12</f>
        <v>96.202531645569621</v>
      </c>
      <c r="E15" s="5">
        <f>Sprints!I12</f>
        <v>19750</v>
      </c>
    </row>
    <row r="36" spans="8:13" x14ac:dyDescent="0.3">
      <c r="H36" s="24" t="s">
        <v>44</v>
      </c>
      <c r="I36" s="24" t="s">
        <v>44</v>
      </c>
      <c r="J36" s="24" t="s">
        <v>44</v>
      </c>
      <c r="K36" s="24" t="s">
        <v>44</v>
      </c>
      <c r="L36" s="24" t="s">
        <v>44</v>
      </c>
      <c r="M36" s="24" t="s">
        <v>44</v>
      </c>
    </row>
    <row r="37" spans="8:13" x14ac:dyDescent="0.3">
      <c r="H37" s="24" t="s">
        <v>44</v>
      </c>
      <c r="I37" s="24" t="s">
        <v>44</v>
      </c>
      <c r="J37" s="24" t="s">
        <v>44</v>
      </c>
      <c r="K37" s="24" t="s">
        <v>44</v>
      </c>
      <c r="L37" s="24" t="s">
        <v>44</v>
      </c>
      <c r="M37" s="24" t="s">
        <v>44</v>
      </c>
    </row>
    <row r="38" spans="8:13" x14ac:dyDescent="0.3">
      <c r="H38" s="24" t="s">
        <v>44</v>
      </c>
      <c r="I38" s="24" t="s">
        <v>44</v>
      </c>
      <c r="J38" s="24" t="s">
        <v>44</v>
      </c>
      <c r="K38" s="24" t="s">
        <v>44</v>
      </c>
      <c r="L38" s="24" t="s">
        <v>44</v>
      </c>
      <c r="M38" s="24" t="s">
        <v>44</v>
      </c>
    </row>
    <row r="39" spans="8:13" x14ac:dyDescent="0.3">
      <c r="H39" s="24" t="s">
        <v>44</v>
      </c>
      <c r="I39" s="24" t="s">
        <v>44</v>
      </c>
      <c r="J39" s="24" t="s">
        <v>44</v>
      </c>
      <c r="K39" s="24" t="s">
        <v>44</v>
      </c>
      <c r="L39" s="24" t="s">
        <v>44</v>
      </c>
      <c r="M39" s="24" t="s">
        <v>44</v>
      </c>
    </row>
    <row r="40" spans="8:13" x14ac:dyDescent="0.3">
      <c r="H40" s="24" t="s">
        <v>44</v>
      </c>
      <c r="I40" s="24" t="s">
        <v>44</v>
      </c>
      <c r="J40" s="24" t="s">
        <v>44</v>
      </c>
      <c r="K40" s="24" t="s">
        <v>44</v>
      </c>
      <c r="L40" s="24" t="s">
        <v>44</v>
      </c>
      <c r="M40" s="24" t="s">
        <v>44</v>
      </c>
    </row>
    <row r="41" spans="8:13" x14ac:dyDescent="0.3">
      <c r="H41" s="24" t="s">
        <v>44</v>
      </c>
      <c r="I41" s="24" t="s">
        <v>44</v>
      </c>
      <c r="J41" s="24" t="s">
        <v>44</v>
      </c>
      <c r="K41" s="24" t="s">
        <v>44</v>
      </c>
      <c r="L41" s="24" t="s">
        <v>44</v>
      </c>
      <c r="M41" s="24" t="s">
        <v>44</v>
      </c>
    </row>
    <row r="42" spans="8:13" x14ac:dyDescent="0.3">
      <c r="H42" s="24" t="s">
        <v>44</v>
      </c>
      <c r="I42" s="24" t="s">
        <v>44</v>
      </c>
      <c r="J42" s="24" t="s">
        <v>44</v>
      </c>
      <c r="K42" s="24" t="s">
        <v>44</v>
      </c>
      <c r="L42" s="24" t="s">
        <v>44</v>
      </c>
      <c r="M42" s="24" t="s">
        <v>44</v>
      </c>
    </row>
    <row r="43" spans="8:13" x14ac:dyDescent="0.3">
      <c r="H43" s="24" t="s">
        <v>44</v>
      </c>
      <c r="I43" s="24" t="s">
        <v>44</v>
      </c>
      <c r="J43" s="24" t="s">
        <v>44</v>
      </c>
      <c r="K43" s="24" t="s">
        <v>44</v>
      </c>
      <c r="L43" s="24" t="s">
        <v>44</v>
      </c>
      <c r="M43" s="24" t="s">
        <v>44</v>
      </c>
    </row>
    <row r="44" spans="8:13" x14ac:dyDescent="0.3">
      <c r="H44" s="24" t="s">
        <v>44</v>
      </c>
      <c r="I44" s="24" t="s">
        <v>44</v>
      </c>
      <c r="J44" s="24" t="s">
        <v>44</v>
      </c>
      <c r="K44" s="24" t="s">
        <v>44</v>
      </c>
      <c r="L44" s="24" t="s">
        <v>44</v>
      </c>
      <c r="M44" s="24" t="s">
        <v>44</v>
      </c>
    </row>
    <row r="45" spans="8:13" x14ac:dyDescent="0.3">
      <c r="H45" s="24" t="s">
        <v>44</v>
      </c>
      <c r="I45" s="24" t="s">
        <v>44</v>
      </c>
      <c r="J45" s="24" t="s">
        <v>44</v>
      </c>
      <c r="K45" s="24" t="s">
        <v>44</v>
      </c>
      <c r="L45" s="24" t="s">
        <v>44</v>
      </c>
      <c r="M45" s="24" t="s">
        <v>44</v>
      </c>
    </row>
    <row r="46" spans="8:13" x14ac:dyDescent="0.3">
      <c r="H46" s="24" t="s">
        <v>44</v>
      </c>
      <c r="I46" s="24" t="s">
        <v>44</v>
      </c>
      <c r="J46" s="24" t="s">
        <v>44</v>
      </c>
      <c r="K46" s="24" t="s">
        <v>44</v>
      </c>
      <c r="L46" s="24" t="s">
        <v>44</v>
      </c>
      <c r="M46" s="24" t="s">
        <v>44</v>
      </c>
    </row>
    <row r="47" spans="8:13" x14ac:dyDescent="0.3">
      <c r="H47" s="24" t="s">
        <v>44</v>
      </c>
      <c r="I47" s="24" t="s">
        <v>44</v>
      </c>
      <c r="J47" s="24" t="s">
        <v>44</v>
      </c>
      <c r="K47" s="24" t="s">
        <v>44</v>
      </c>
      <c r="L47" s="24" t="s">
        <v>44</v>
      </c>
      <c r="M47" s="24" t="s">
        <v>44</v>
      </c>
    </row>
    <row r="48" spans="8:13" x14ac:dyDescent="0.3">
      <c r="H48" s="24" t="s">
        <v>44</v>
      </c>
      <c r="I48" s="24" t="s">
        <v>44</v>
      </c>
      <c r="J48" s="24" t="s">
        <v>44</v>
      </c>
      <c r="K48" s="24" t="s">
        <v>44</v>
      </c>
      <c r="L48" s="24" t="s">
        <v>44</v>
      </c>
      <c r="M48" s="24" t="s">
        <v>44</v>
      </c>
    </row>
  </sheetData>
  <mergeCells count="2">
    <mergeCell ref="A1:N2"/>
    <mergeCell ref="H36:M48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Sprints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Alysson Arcas</dc:creator>
  <cp:keywords>Nossyla Consultoria e Desenvolvimento de Software</cp:keywords>
  <cp:lastModifiedBy>Cache Windows</cp:lastModifiedBy>
  <dcterms:created xsi:type="dcterms:W3CDTF">2026-05-03T21:25:58Z</dcterms:created>
  <dcterms:modified xsi:type="dcterms:W3CDTF">2026-05-03T21:25:59Z</dcterms:modified>
</cp:coreProperties>
</file>